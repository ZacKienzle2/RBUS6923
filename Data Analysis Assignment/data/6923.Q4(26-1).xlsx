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pclar1_uq_edu_au/Documents/Desktop/H Drive Material/Teaching Material/2026/RBUS6923   2026-1/Assessment/2026 RBUS6923 Data Analysis Assignment/Data Files/"/>
    </mc:Choice>
  </mc:AlternateContent>
  <xr:revisionPtr revIDLastSave="22" documentId="8_{D9542944-A303-437F-8784-18DE4FD900F1}" xr6:coauthVersionLast="47" xr6:coauthVersionMax="47" xr10:uidLastSave="{DD54B885-EFA3-492C-AF61-F93723E3D69D}"/>
  <bookViews>
    <workbookView xWindow="30510" yWindow="840" windowWidth="21600" windowHeight="11295" xr2:uid="{00000000-000D-0000-FFFF-FFFF00000000}"/>
  </bookViews>
  <sheets>
    <sheet name="dec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F2" i="1"/>
  <c r="E2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</calcChain>
</file>

<file path=xl/sharedStrings.xml><?xml version="1.0" encoding="utf-8"?>
<sst xmlns="http://schemas.openxmlformats.org/spreadsheetml/2006/main" count="12" uniqueCount="12">
  <si>
    <t>Year</t>
  </si>
  <si>
    <t>Month</t>
  </si>
  <si>
    <t>EW Mkt</t>
  </si>
  <si>
    <t>VW Mkt</t>
  </si>
  <si>
    <t>Riskfree</t>
  </si>
  <si>
    <t>RFS</t>
  </si>
  <si>
    <t>RFL</t>
  </si>
  <si>
    <t>RFEM</t>
  </si>
  <si>
    <t>RFVM</t>
  </si>
  <si>
    <t xml:space="preserve"> 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</si>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</sst>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0"/>
      <name val="Arial"/>
    </font>
    <font>
      <sz val="10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62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_decil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5"/>
  <sheetViews>
    <sheetView tabSelected="1" workbookViewId="0">
      <selection activeCell="Q13" sqref="Q13"/>
    </sheetView>
  </sheetViews>
  <sheetFormatPr defaultRowHeight="12.75" x14ac:dyDescent="0.2"/>
  <cols>
    <col min="1" max="1" width="9.140625" style="7" customWidth="1"/>
    <col min="2" max="2" width="10" style="5" customWidth="1"/>
    <col min="3" max="4" width="10" style="3" customWidth="1"/>
    <col min="5" max="5" width="13.7109375" style="3" customWidth="1"/>
    <col min="6" max="6" width="14" style="3" customWidth="1"/>
    <col min="7" max="8" width="11.140625" style="3" bestFit="1" customWidth="1"/>
    <col min="9" max="11" width="11.140625" style="3" customWidth="1"/>
  </cols>
  <sheetData>
    <row r="1" spans="1:12" x14ac:dyDescent="0.2">
      <c r="A1" s="6" t="s">
        <v>0</v>
      </c>
      <c r="B1" s="4" t="s">
        <v>1</v>
      </c>
      <c r="C1" s="1" t="s">
        <v>7</v>
      </c>
      <c r="D1" s="1" t="s">
        <v>8</v>
      </c>
      <c r="E1" s="1" t="s">
        <v>5</v>
      </c>
      <c r="F1" s="1" t="s">
        <v>6</v>
      </c>
      <c r="G1" s="1" t="s">
        <v>10</v>
      </c>
      <c r="H1" s="1" t="s">
        <v>11</v>
      </c>
      <c r="I1" s="2" t="s">
        <v>2</v>
      </c>
      <c r="J1" s="2" t="s">
        <v>3</v>
      </c>
      <c r="K1" s="2" t="s">
        <v>4</v>
      </c>
    </row>
    <row r="2" spans="1:12" x14ac:dyDescent="0.2">
      <c r="A2" s="7">
        <v>1974</v>
      </c>
      <c r="B2" s="5">
        <v>1</v>
      </c>
      <c r="C2" s="3">
        <f>I2-K2</f>
        <v>9.0729599334633163E-2</v>
      </c>
      <c r="D2" s="3">
        <f>J2-K2</f>
        <v>0.11001132561061262</v>
      </c>
      <c r="E2" s="3">
        <f>G2-K2</f>
        <v>0.24530232299999988</v>
      </c>
      <c r="F2" s="3">
        <f>H2-K2</f>
        <v>9.3094104999999899E-2</v>
      </c>
      <c r="G2" s="3">
        <v>0.25140805999999999</v>
      </c>
      <c r="H2" s="3">
        <v>9.9199841999999996E-2</v>
      </c>
      <c r="I2" s="3">
        <v>9.683533633463326E-2</v>
      </c>
      <c r="J2" s="3">
        <v>0.11611706261061272</v>
      </c>
      <c r="K2" s="3">
        <v>6.1057370000000997E-3</v>
      </c>
    </row>
    <row r="3" spans="1:12" x14ac:dyDescent="0.2">
      <c r="A3" s="7">
        <v>1974</v>
      </c>
      <c r="B3" s="5">
        <v>2</v>
      </c>
      <c r="C3" s="3">
        <f t="shared" ref="C3:C66" si="0">I3-K3</f>
        <v>4.9048533128128888E-2</v>
      </c>
      <c r="D3" s="3">
        <f t="shared" ref="D3:D66" si="1">J3-K3</f>
        <v>6.8417591776004524E-2</v>
      </c>
      <c r="E3" s="3">
        <f>G3-K3</f>
        <v>7.2064158999999905E-2</v>
      </c>
      <c r="F3" s="3">
        <f t="shared" ref="F3:F66" si="2">H3-K3</f>
        <v>5.75347739999999E-2</v>
      </c>
      <c r="G3" s="3">
        <v>7.7814222000000002E-2</v>
      </c>
      <c r="H3" s="3">
        <v>6.3284836999999997E-2</v>
      </c>
      <c r="I3" s="3">
        <v>5.4798596128128985E-2</v>
      </c>
      <c r="J3" s="3">
        <v>7.4167654776004621E-2</v>
      </c>
      <c r="K3" s="3">
        <v>5.7500630000000942E-3</v>
      </c>
      <c r="L3" t="s">
        <v>9</v>
      </c>
    </row>
    <row r="4" spans="1:12" x14ac:dyDescent="0.2">
      <c r="A4" s="7">
        <v>1974</v>
      </c>
      <c r="B4" s="5">
        <v>3</v>
      </c>
      <c r="C4" s="3">
        <f t="shared" si="0"/>
        <v>3.828771612612949E-3</v>
      </c>
      <c r="D4" s="3">
        <f t="shared" si="1"/>
        <v>-4.3497334962841382E-2</v>
      </c>
      <c r="E4" s="3">
        <f>G4-K4</f>
        <v>9.5351098999999967E-2</v>
      </c>
      <c r="F4" s="3">
        <f t="shared" si="2"/>
        <v>-3.5224459000000034E-2</v>
      </c>
      <c r="G4" s="3">
        <v>0.10162555</v>
      </c>
      <c r="H4" s="3">
        <v>-2.8950007999999999E-2</v>
      </c>
      <c r="I4" s="3">
        <v>1.0103222612612983E-2</v>
      </c>
      <c r="J4" s="3">
        <v>-3.7222883962841347E-2</v>
      </c>
      <c r="K4" s="3">
        <v>6.2744510000000342E-3</v>
      </c>
    </row>
    <row r="5" spans="1:12" x14ac:dyDescent="0.2">
      <c r="A5" s="7">
        <v>1974</v>
      </c>
      <c r="B5" s="5">
        <v>4</v>
      </c>
      <c r="C5" s="3">
        <f t="shared" si="0"/>
        <v>-2.7819315368759465E-2</v>
      </c>
      <c r="D5" s="3">
        <f t="shared" si="1"/>
        <v>-3.8595633914096913E-2</v>
      </c>
      <c r="E5" s="3">
        <f>G5-K5</f>
        <v>2.2603464999999975E-2</v>
      </c>
      <c r="F5" s="3">
        <f t="shared" si="2"/>
        <v>-4.3116827000000024E-2</v>
      </c>
      <c r="G5" s="3">
        <v>2.8701272999999999E-2</v>
      </c>
      <c r="H5" s="3">
        <v>-3.7019019E-2</v>
      </c>
      <c r="I5" s="3">
        <v>-2.1721507368759441E-2</v>
      </c>
      <c r="J5" s="3">
        <v>-3.2497825914096889E-2</v>
      </c>
      <c r="K5" s="3">
        <v>6.097808000000024E-3</v>
      </c>
    </row>
    <row r="6" spans="1:12" x14ac:dyDescent="0.2">
      <c r="A6" s="7">
        <v>1974</v>
      </c>
      <c r="B6" s="5">
        <v>5</v>
      </c>
      <c r="C6" s="3">
        <f t="shared" si="0"/>
        <v>-8.795854555845195E-2</v>
      </c>
      <c r="D6" s="3">
        <f t="shared" si="1"/>
        <v>-0.14058469435067855</v>
      </c>
      <c r="E6" s="3">
        <f>G6-K6</f>
        <v>-8.2575513999999919E-2</v>
      </c>
      <c r="F6" s="3">
        <f t="shared" si="2"/>
        <v>-0.13964213599999992</v>
      </c>
      <c r="G6" s="3">
        <v>-7.4772028000000004E-2</v>
      </c>
      <c r="H6" s="3">
        <v>-0.13183865</v>
      </c>
      <c r="I6" s="3">
        <v>-8.0155059558452035E-2</v>
      </c>
      <c r="J6" s="3">
        <v>-0.13278120835067864</v>
      </c>
      <c r="K6" s="3">
        <v>7.8034859999999194E-3</v>
      </c>
    </row>
    <row r="7" spans="1:12" x14ac:dyDescent="0.2">
      <c r="A7" s="7">
        <v>1974</v>
      </c>
      <c r="B7" s="5">
        <v>6</v>
      </c>
      <c r="C7" s="3">
        <f t="shared" si="0"/>
        <v>-9.697681089673453E-2</v>
      </c>
      <c r="D7" s="3">
        <f t="shared" si="1"/>
        <v>-7.7398759800744885E-2</v>
      </c>
      <c r="E7" s="3">
        <f>G7-K7</f>
        <v>-0.16335408700000006</v>
      </c>
      <c r="F7" s="3">
        <f t="shared" si="2"/>
        <v>-8.1499813000000088E-2</v>
      </c>
      <c r="G7" s="3">
        <v>-0.15506534</v>
      </c>
      <c r="H7" s="3">
        <v>-7.3211066000000005E-2</v>
      </c>
      <c r="I7" s="3">
        <v>-8.8688063896734448E-2</v>
      </c>
      <c r="J7" s="3">
        <v>-6.9110012800744802E-2</v>
      </c>
      <c r="K7" s="3">
        <v>8.2887470000000806E-3</v>
      </c>
    </row>
    <row r="8" spans="1:12" x14ac:dyDescent="0.2">
      <c r="A8" s="7">
        <v>1974</v>
      </c>
      <c r="B8" s="5">
        <v>7</v>
      </c>
      <c r="C8" s="3">
        <f t="shared" si="0"/>
        <v>-7.0034186920022237E-2</v>
      </c>
      <c r="D8" s="3">
        <f t="shared" si="1"/>
        <v>-0.14472858141592024</v>
      </c>
      <c r="E8" s="3">
        <f>G8-K8</f>
        <v>4.3593003999999914E-2</v>
      </c>
      <c r="F8" s="3">
        <f t="shared" si="2"/>
        <v>-0.14619892300000009</v>
      </c>
      <c r="G8" s="3">
        <v>5.2394456999999998E-2</v>
      </c>
      <c r="H8" s="3">
        <v>-0.13739746999999999</v>
      </c>
      <c r="I8" s="3">
        <v>-6.1232733920022153E-2</v>
      </c>
      <c r="J8" s="3">
        <v>-0.13592712841592014</v>
      </c>
      <c r="K8" s="3">
        <v>8.8014530000000857E-3</v>
      </c>
    </row>
    <row r="9" spans="1:12" x14ac:dyDescent="0.2">
      <c r="A9" s="7">
        <v>1974</v>
      </c>
      <c r="B9" s="5">
        <v>8</v>
      </c>
      <c r="C9" s="3">
        <f t="shared" si="0"/>
        <v>-6.1218803522354134E-2</v>
      </c>
      <c r="D9" s="3">
        <f t="shared" si="1"/>
        <v>-5.7322473280142991E-2</v>
      </c>
      <c r="E9" s="3">
        <f>G9-K9</f>
        <v>3.3139823999999915E-2</v>
      </c>
      <c r="F9" s="3">
        <f t="shared" si="2"/>
        <v>-6.6933517000000081E-2</v>
      </c>
      <c r="G9" s="3">
        <v>4.1428570999999997E-2</v>
      </c>
      <c r="H9" s="3">
        <v>-5.8644769999999999E-2</v>
      </c>
      <c r="I9" s="3">
        <v>-5.2930056522354052E-2</v>
      </c>
      <c r="J9" s="3">
        <v>-4.9033726280142909E-2</v>
      </c>
      <c r="K9" s="3">
        <v>8.2887470000000806E-3</v>
      </c>
    </row>
    <row r="10" spans="1:12" x14ac:dyDescent="0.2">
      <c r="A10" s="7">
        <v>1974</v>
      </c>
      <c r="B10" s="5">
        <v>9</v>
      </c>
      <c r="C10" s="3">
        <f t="shared" si="0"/>
        <v>-6.7322209265292823E-2</v>
      </c>
      <c r="D10" s="3">
        <f t="shared" si="1"/>
        <v>-0.16149471856699224</v>
      </c>
      <c r="E10" s="3">
        <f>G10-K10</f>
        <v>4.2666522999999915E-2</v>
      </c>
      <c r="F10" s="3">
        <f t="shared" si="2"/>
        <v>-0.14702920300000011</v>
      </c>
      <c r="G10" s="3">
        <v>5.1467975999999999E-2</v>
      </c>
      <c r="H10" s="3">
        <v>-0.13822775000000001</v>
      </c>
      <c r="I10" s="3">
        <v>-5.8520756265292739E-2</v>
      </c>
      <c r="J10" s="3">
        <v>-0.15269326556699214</v>
      </c>
      <c r="K10" s="3">
        <v>8.8014530000000857E-3</v>
      </c>
    </row>
    <row r="11" spans="1:12" x14ac:dyDescent="0.2">
      <c r="A11" s="7">
        <v>1974</v>
      </c>
      <c r="B11" s="5">
        <v>10</v>
      </c>
      <c r="C11" s="3">
        <f t="shared" si="0"/>
        <v>4.8242637867655064E-2</v>
      </c>
      <c r="D11" s="3">
        <f t="shared" si="1"/>
        <v>0.16244957559045317</v>
      </c>
      <c r="E11" s="3">
        <f>G11-K11</f>
        <v>3.1963111999999898E-2</v>
      </c>
      <c r="F11" s="3">
        <f t="shared" si="2"/>
        <v>0.1546996229999999</v>
      </c>
      <c r="G11" s="3">
        <v>3.9222688999999998E-2</v>
      </c>
      <c r="H11" s="3">
        <v>0.1619592</v>
      </c>
      <c r="I11" s="3">
        <v>5.5502214867655164E-2</v>
      </c>
      <c r="J11" s="3">
        <v>0.16970915259045327</v>
      </c>
      <c r="K11" s="3">
        <v>7.2595770000001012E-3</v>
      </c>
    </row>
    <row r="12" spans="1:12" x14ac:dyDescent="0.2">
      <c r="A12" s="7">
        <v>1974</v>
      </c>
      <c r="B12" s="5">
        <v>11</v>
      </c>
      <c r="C12" s="3">
        <f t="shared" si="0"/>
        <v>6.5791698674040958E-2</v>
      </c>
      <c r="D12" s="3">
        <f t="shared" si="1"/>
        <v>4.025704503904888E-2</v>
      </c>
      <c r="E12" s="3">
        <f>G12-K12</f>
        <v>0.24127015099999996</v>
      </c>
      <c r="F12" s="3">
        <f t="shared" si="2"/>
        <v>5.4390490999999958E-2</v>
      </c>
      <c r="G12" s="3">
        <v>0.24844749999999999</v>
      </c>
      <c r="H12" s="3">
        <v>6.1567839999999999E-2</v>
      </c>
      <c r="I12" s="3">
        <v>7.2969047674040999E-2</v>
      </c>
      <c r="J12" s="3">
        <v>4.7434394039048922E-2</v>
      </c>
      <c r="K12" s="3">
        <v>7.1773490000000394E-3</v>
      </c>
    </row>
    <row r="13" spans="1:12" x14ac:dyDescent="0.2">
      <c r="A13" s="7">
        <v>1974</v>
      </c>
      <c r="B13" s="5">
        <v>12</v>
      </c>
      <c r="C13" s="3">
        <f t="shared" si="0"/>
        <v>-2.941238901230795E-2</v>
      </c>
      <c r="D13" s="3">
        <f t="shared" si="1"/>
        <v>-4.5003878924655551E-2</v>
      </c>
      <c r="E13" s="3">
        <f>G13-K13</f>
        <v>-9.7911213000000108E-2</v>
      </c>
      <c r="F13" s="3">
        <f t="shared" si="2"/>
        <v>-6.836784000000011E-2</v>
      </c>
      <c r="G13" s="3">
        <v>-9.1685268E-2</v>
      </c>
      <c r="H13" s="3">
        <v>-6.2141895000000003E-2</v>
      </c>
      <c r="I13" s="3">
        <v>-2.318644401230785E-2</v>
      </c>
      <c r="J13" s="3">
        <v>-3.877793392465545E-2</v>
      </c>
      <c r="K13" s="3">
        <v>6.2259450000001016E-3</v>
      </c>
    </row>
    <row r="14" spans="1:12" x14ac:dyDescent="0.2">
      <c r="A14" s="7">
        <f>IF(B14=1,A13+1,A13)</f>
        <v>1975</v>
      </c>
      <c r="B14" s="5">
        <v>1</v>
      </c>
      <c r="C14" s="3">
        <f t="shared" si="0"/>
        <v>7.225252572022399E-2</v>
      </c>
      <c r="D14" s="3">
        <f t="shared" si="1"/>
        <v>0.16005125481186067</v>
      </c>
      <c r="E14" s="3">
        <f>G14-K14</f>
        <v>9.892785799999998E-2</v>
      </c>
      <c r="F14" s="3">
        <f t="shared" si="2"/>
        <v>0.17896656799999999</v>
      </c>
      <c r="G14" s="3">
        <v>0.10540285000000001</v>
      </c>
      <c r="H14" s="3">
        <v>0.18544156000000001</v>
      </c>
      <c r="I14" s="3">
        <v>7.8727517720224016E-2</v>
      </c>
      <c r="J14" s="3">
        <v>0.16652624681186068</v>
      </c>
      <c r="K14" s="3">
        <v>6.4749920000000266E-3</v>
      </c>
    </row>
    <row r="15" spans="1:12" x14ac:dyDescent="0.2">
      <c r="A15" s="7">
        <f t="shared" ref="A15:A78" si="3">IF(B15=1,A14+1,A14)</f>
        <v>1975</v>
      </c>
      <c r="B15" s="5">
        <v>2</v>
      </c>
      <c r="C15" s="3">
        <f t="shared" si="0"/>
        <v>7.0433803017063715E-2</v>
      </c>
      <c r="D15" s="3">
        <f t="shared" si="1"/>
        <v>2.6277496790286139E-2</v>
      </c>
      <c r="E15" s="3">
        <f>G15-K15</f>
        <v>0.24266389199999999</v>
      </c>
      <c r="F15" s="3">
        <f t="shared" si="2"/>
        <v>2.6797564999999975E-2</v>
      </c>
      <c r="G15" s="3">
        <v>0.2487617</v>
      </c>
      <c r="H15" s="3">
        <v>3.2895372999999999E-2</v>
      </c>
      <c r="I15" s="3">
        <v>7.6531611017063739E-2</v>
      </c>
      <c r="J15" s="3">
        <v>3.2375304790286163E-2</v>
      </c>
      <c r="K15" s="3">
        <v>6.097808000000024E-3</v>
      </c>
    </row>
    <row r="16" spans="1:12" x14ac:dyDescent="0.2">
      <c r="A16" s="7">
        <f t="shared" si="3"/>
        <v>1975</v>
      </c>
      <c r="B16" s="5">
        <v>3</v>
      </c>
      <c r="C16" s="3">
        <f t="shared" si="0"/>
        <v>8.1588515595818339E-3</v>
      </c>
      <c r="D16" s="3">
        <f t="shared" si="1"/>
        <v>-1.2662770148987548E-2</v>
      </c>
      <c r="E16" s="3">
        <f>G16-K16</f>
        <v>2.6092005999999973E-2</v>
      </c>
      <c r="F16" s="3">
        <f t="shared" si="2"/>
        <v>-4.0124497000000262E-3</v>
      </c>
      <c r="G16" s="3">
        <v>3.2566998E-2</v>
      </c>
      <c r="H16" s="3">
        <v>2.4625423E-3</v>
      </c>
      <c r="I16" s="3">
        <v>1.4633843559581861E-2</v>
      </c>
      <c r="J16" s="3">
        <v>-6.1877781489875217E-3</v>
      </c>
      <c r="K16" s="3">
        <v>6.4749920000000266E-3</v>
      </c>
    </row>
    <row r="17" spans="1:11" x14ac:dyDescent="0.2">
      <c r="A17" s="7">
        <f t="shared" si="3"/>
        <v>1975</v>
      </c>
      <c r="B17" s="5">
        <v>4</v>
      </c>
      <c r="C17" s="3">
        <f t="shared" si="0"/>
        <v>-1.8070377955179837E-2</v>
      </c>
      <c r="D17" s="3">
        <f t="shared" si="1"/>
        <v>-1.9457336401757924E-3</v>
      </c>
      <c r="E17" s="3">
        <f>G17-K17</f>
        <v>-2.5190103000000023E-2</v>
      </c>
      <c r="F17" s="3">
        <f t="shared" si="2"/>
        <v>-2.8646862000000239E-3</v>
      </c>
      <c r="G17" s="3">
        <v>-1.9092294999999999E-2</v>
      </c>
      <c r="H17" s="3">
        <v>3.2331218000000001E-3</v>
      </c>
      <c r="I17" s="3">
        <v>-1.1972569955179813E-2</v>
      </c>
      <c r="J17" s="3">
        <v>4.1520743598242316E-3</v>
      </c>
      <c r="K17" s="3">
        <v>6.097808000000024E-3</v>
      </c>
    </row>
    <row r="18" spans="1:11" x14ac:dyDescent="0.2">
      <c r="A18" s="7">
        <f t="shared" si="3"/>
        <v>1975</v>
      </c>
      <c r="B18" s="5">
        <v>5</v>
      </c>
      <c r="C18" s="3">
        <f t="shared" si="0"/>
        <v>1.5687916172461E-2</v>
      </c>
      <c r="D18" s="3">
        <f t="shared" si="1"/>
        <v>5.4869954204140411E-2</v>
      </c>
      <c r="E18" s="3">
        <f>G18-K18</f>
        <v>9.2564305999999971E-2</v>
      </c>
      <c r="F18" s="3">
        <f t="shared" si="2"/>
        <v>3.3487916999999971E-2</v>
      </c>
      <c r="G18" s="3">
        <v>9.9039297999999998E-2</v>
      </c>
      <c r="H18" s="3">
        <v>3.9962908999999998E-2</v>
      </c>
      <c r="I18" s="3">
        <v>2.2162908172461027E-2</v>
      </c>
      <c r="J18" s="3">
        <v>6.1344946204140438E-2</v>
      </c>
      <c r="K18" s="3">
        <v>6.4749920000000266E-3</v>
      </c>
    </row>
    <row r="19" spans="1:11" x14ac:dyDescent="0.2">
      <c r="A19" s="7">
        <f t="shared" si="3"/>
        <v>1975</v>
      </c>
      <c r="B19" s="5">
        <v>6</v>
      </c>
      <c r="C19" s="3">
        <f t="shared" si="0"/>
        <v>-9.1229243269369403E-3</v>
      </c>
      <c r="D19" s="3">
        <f t="shared" si="1"/>
        <v>-1.6719394818309738E-2</v>
      </c>
      <c r="E19" s="3">
        <f>G19-K19</f>
        <v>2.5344402999999974E-2</v>
      </c>
      <c r="F19" s="3">
        <f t="shared" si="2"/>
        <v>-1.4196740400000024E-2</v>
      </c>
      <c r="G19" s="3">
        <v>3.1442210999999998E-2</v>
      </c>
      <c r="H19" s="3">
        <v>-8.0989323999999998E-3</v>
      </c>
      <c r="I19" s="3">
        <v>-3.0251163269369163E-3</v>
      </c>
      <c r="J19" s="3">
        <v>-1.0621586818309714E-2</v>
      </c>
      <c r="K19" s="3">
        <v>6.097808000000024E-3</v>
      </c>
    </row>
    <row r="20" spans="1:11" x14ac:dyDescent="0.2">
      <c r="A20" s="7">
        <f t="shared" si="3"/>
        <v>1975</v>
      </c>
      <c r="B20" s="5">
        <v>7</v>
      </c>
      <c r="C20" s="3">
        <f t="shared" si="0"/>
        <v>3.7125276616364868E-2</v>
      </c>
      <c r="D20" s="3">
        <f t="shared" si="1"/>
        <v>-1.7437968566221505E-2</v>
      </c>
      <c r="E20" s="3">
        <f>G20-K20</f>
        <v>0.18499325199999997</v>
      </c>
      <c r="F20" s="3">
        <f t="shared" si="2"/>
        <v>-1.5423514900000032E-2</v>
      </c>
      <c r="G20" s="3">
        <v>0.19106675000000001</v>
      </c>
      <c r="H20" s="3">
        <v>-9.3500169000000008E-3</v>
      </c>
      <c r="I20" s="3">
        <v>4.3198774616364899E-2</v>
      </c>
      <c r="J20" s="3">
        <v>-1.1364470566221474E-2</v>
      </c>
      <c r="K20" s="3">
        <v>6.0734980000000304E-3</v>
      </c>
    </row>
    <row r="21" spans="1:11" x14ac:dyDescent="0.2">
      <c r="A21" s="7">
        <f t="shared" si="3"/>
        <v>1975</v>
      </c>
      <c r="B21" s="5">
        <v>8</v>
      </c>
      <c r="C21" s="3">
        <f t="shared" si="0"/>
        <v>1.2834745856132241E-2</v>
      </c>
      <c r="D21" s="3">
        <f t="shared" si="1"/>
        <v>-1.4639491665198361E-2</v>
      </c>
      <c r="E21" s="3">
        <f>G21-K21</f>
        <v>0.12012060399999989</v>
      </c>
      <c r="F21" s="3">
        <f t="shared" si="2"/>
        <v>-1.0535671500000104E-2</v>
      </c>
      <c r="G21" s="3">
        <v>0.12574932</v>
      </c>
      <c r="H21" s="3">
        <v>-4.9069554999999999E-3</v>
      </c>
      <c r="I21" s="3">
        <v>1.8463461856132346E-2</v>
      </c>
      <c r="J21" s="3">
        <v>-9.0107756651982562E-3</v>
      </c>
      <c r="K21" s="3">
        <v>5.6287160000001047E-3</v>
      </c>
    </row>
    <row r="22" spans="1:11" x14ac:dyDescent="0.2">
      <c r="A22" s="7">
        <f t="shared" si="3"/>
        <v>1975</v>
      </c>
      <c r="B22" s="5">
        <v>9</v>
      </c>
      <c r="C22" s="3">
        <f t="shared" si="0"/>
        <v>8.1086001433950464E-2</v>
      </c>
      <c r="D22" s="3">
        <f t="shared" si="1"/>
        <v>8.3649325539518052E-2</v>
      </c>
      <c r="E22" s="3">
        <f>G22-K22</f>
        <v>0.25391606599999988</v>
      </c>
      <c r="F22" s="3">
        <f t="shared" si="2"/>
        <v>0.11059300599999988</v>
      </c>
      <c r="G22" s="3">
        <v>0.25989295000000001</v>
      </c>
      <c r="H22" s="3">
        <v>0.11656989</v>
      </c>
      <c r="I22" s="3">
        <v>8.7062885433950576E-2</v>
      </c>
      <c r="J22" s="3">
        <v>8.9626209539518165E-2</v>
      </c>
      <c r="K22" s="3">
        <v>5.976884000000111E-3</v>
      </c>
    </row>
    <row r="23" spans="1:11" x14ac:dyDescent="0.2">
      <c r="A23" s="7">
        <f t="shared" si="3"/>
        <v>1975</v>
      </c>
      <c r="B23" s="5">
        <v>10</v>
      </c>
      <c r="C23" s="3">
        <f t="shared" si="0"/>
        <v>8.1129251548283141E-2</v>
      </c>
      <c r="D23" s="3">
        <f t="shared" si="1"/>
        <v>3.1970156463172514E-2</v>
      </c>
      <c r="E23" s="3">
        <f>G23-K23</f>
        <v>0.15123626399999987</v>
      </c>
      <c r="F23" s="3">
        <f t="shared" si="2"/>
        <v>3.7456038999999899E-2</v>
      </c>
      <c r="G23" s="3">
        <v>0.15686497999999999</v>
      </c>
      <c r="H23" s="3">
        <v>4.3084755000000002E-2</v>
      </c>
      <c r="I23" s="3">
        <v>8.6757967548283244E-2</v>
      </c>
      <c r="J23" s="3">
        <v>3.7598872463172617E-2</v>
      </c>
      <c r="K23" s="3">
        <v>5.6287160000001047E-3</v>
      </c>
    </row>
    <row r="24" spans="1:11" x14ac:dyDescent="0.2">
      <c r="A24" s="7">
        <f t="shared" si="3"/>
        <v>1975</v>
      </c>
      <c r="B24" s="5">
        <v>11</v>
      </c>
      <c r="C24" s="3">
        <f t="shared" si="0"/>
        <v>2.858047308925156E-2</v>
      </c>
      <c r="D24" s="3">
        <f t="shared" si="1"/>
        <v>5.3427533676259922E-2</v>
      </c>
      <c r="E24" s="3">
        <f>G24-K24</f>
        <v>1.900691199999989E-2</v>
      </c>
      <c r="F24" s="3">
        <f t="shared" si="2"/>
        <v>5.7515950999999885E-2</v>
      </c>
      <c r="G24" s="3">
        <v>2.4983795999999999E-2</v>
      </c>
      <c r="H24" s="3">
        <v>6.3492834999999997E-2</v>
      </c>
      <c r="I24" s="3">
        <v>3.4557357089251672E-2</v>
      </c>
      <c r="J24" s="3">
        <v>5.9404417676260035E-2</v>
      </c>
      <c r="K24" s="3">
        <v>5.976884000000111E-3</v>
      </c>
    </row>
    <row r="25" spans="1:11" x14ac:dyDescent="0.2">
      <c r="A25" s="7">
        <f t="shared" si="3"/>
        <v>1975</v>
      </c>
      <c r="B25" s="5">
        <v>12</v>
      </c>
      <c r="C25" s="3">
        <f t="shared" si="0"/>
        <v>7.5151634752045601E-2</v>
      </c>
      <c r="D25" s="3">
        <f t="shared" si="1"/>
        <v>3.668247833122211E-2</v>
      </c>
      <c r="E25" s="3">
        <f>G25-K25</f>
        <v>0.17952256399999988</v>
      </c>
      <c r="F25" s="3">
        <f t="shared" si="2"/>
        <v>4.2416741999999896E-2</v>
      </c>
      <c r="G25" s="3">
        <v>0.18515128</v>
      </c>
      <c r="H25" s="3">
        <v>4.8045457999999999E-2</v>
      </c>
      <c r="I25" s="3">
        <v>8.0780350752045704E-2</v>
      </c>
      <c r="J25" s="3">
        <v>4.2311194331222213E-2</v>
      </c>
      <c r="K25" s="3">
        <v>5.6287160000001047E-3</v>
      </c>
    </row>
    <row r="26" spans="1:11" x14ac:dyDescent="0.2">
      <c r="A26" s="7">
        <f t="shared" si="3"/>
        <v>1976</v>
      </c>
      <c r="B26" s="5">
        <v>1</v>
      </c>
      <c r="C26" s="3">
        <f t="shared" si="0"/>
        <v>7.4141700374766889E-2</v>
      </c>
      <c r="D26" s="3">
        <f t="shared" si="1"/>
        <v>3.2698335757096048E-2</v>
      </c>
      <c r="E26" s="3">
        <f>G26-K26</f>
        <v>0.1816558949999999</v>
      </c>
      <c r="F26" s="3">
        <f t="shared" si="2"/>
        <v>3.8222375999999891E-2</v>
      </c>
      <c r="G26" s="3">
        <v>0.18746355000000001</v>
      </c>
      <c r="H26" s="3">
        <v>4.4030030999999997E-2</v>
      </c>
      <c r="I26" s="3">
        <v>7.9949355374766995E-2</v>
      </c>
      <c r="J26" s="3">
        <v>3.8505990757096153E-2</v>
      </c>
      <c r="K26" s="3">
        <v>5.8076550000001051E-3</v>
      </c>
    </row>
    <row r="27" spans="1:11" x14ac:dyDescent="0.2">
      <c r="A27" s="7">
        <f t="shared" si="3"/>
        <v>1976</v>
      </c>
      <c r="B27" s="5">
        <v>2</v>
      </c>
      <c r="C27" s="3">
        <f t="shared" si="0"/>
        <v>8.2526889414766547E-3</v>
      </c>
      <c r="D27" s="3">
        <f t="shared" si="1"/>
        <v>4.6422960701504026E-3</v>
      </c>
      <c r="E27" s="3">
        <f>G27-K27</f>
        <v>8.7936353999999897E-2</v>
      </c>
      <c r="F27" s="3">
        <f t="shared" si="2"/>
        <v>-1.1902038000000982E-3</v>
      </c>
      <c r="G27" s="3">
        <v>9.3405698999999995E-2</v>
      </c>
      <c r="H27" s="3">
        <v>4.2791412000000003E-3</v>
      </c>
      <c r="I27" s="3">
        <v>1.3722033941476752E-2</v>
      </c>
      <c r="J27" s="3">
        <v>1.0111641070150501E-2</v>
      </c>
      <c r="K27" s="3">
        <v>5.4693450000000985E-3</v>
      </c>
    </row>
    <row r="28" spans="1:11" x14ac:dyDescent="0.2">
      <c r="A28" s="7">
        <f t="shared" si="3"/>
        <v>1976</v>
      </c>
      <c r="B28" s="5">
        <v>3</v>
      </c>
      <c r="C28" s="3">
        <f t="shared" si="0"/>
        <v>-1.3624409424963541E-2</v>
      </c>
      <c r="D28" s="3">
        <f t="shared" si="1"/>
        <v>-1.1683313643817667E-2</v>
      </c>
      <c r="E28" s="3">
        <f>G28-K28</f>
        <v>-3.4876828000000103E-2</v>
      </c>
      <c r="F28" s="3">
        <f t="shared" si="2"/>
        <v>-2.3148417000000105E-2</v>
      </c>
      <c r="G28" s="3">
        <v>-2.9069173E-2</v>
      </c>
      <c r="H28" s="3">
        <v>-1.7340761999999999E-2</v>
      </c>
      <c r="I28" s="3">
        <v>-7.8167544249634346E-3</v>
      </c>
      <c r="J28" s="3">
        <v>-5.8756586438175606E-3</v>
      </c>
      <c r="K28" s="3">
        <v>5.8076550000001051E-3</v>
      </c>
    </row>
    <row r="29" spans="1:11" x14ac:dyDescent="0.2">
      <c r="A29" s="7">
        <f t="shared" si="3"/>
        <v>1976</v>
      </c>
      <c r="B29" s="5">
        <v>4</v>
      </c>
      <c r="C29" s="3">
        <f t="shared" si="0"/>
        <v>-4.2156891071943045E-3</v>
      </c>
      <c r="D29" s="3">
        <f t="shared" si="1"/>
        <v>7.9965105729622177E-3</v>
      </c>
      <c r="E29" s="3">
        <f>G29-K29</f>
        <v>0.12712818499999989</v>
      </c>
      <c r="F29" s="3">
        <f t="shared" si="2"/>
        <v>-1.9508666000000985E-3</v>
      </c>
      <c r="G29" s="3">
        <v>0.13259752999999999</v>
      </c>
      <c r="H29" s="3">
        <v>3.5184783999999999E-3</v>
      </c>
      <c r="I29" s="3">
        <v>1.2536558928057939E-3</v>
      </c>
      <c r="J29" s="3">
        <v>1.3465855572962315E-2</v>
      </c>
      <c r="K29" s="3">
        <v>5.4693450000000985E-3</v>
      </c>
    </row>
    <row r="30" spans="1:11" x14ac:dyDescent="0.2">
      <c r="A30" s="7">
        <f t="shared" si="3"/>
        <v>1976</v>
      </c>
      <c r="B30" s="5">
        <v>5</v>
      </c>
      <c r="C30" s="3">
        <f t="shared" si="0"/>
        <v>2.712571644269815E-2</v>
      </c>
      <c r="D30" s="3">
        <f t="shared" si="1"/>
        <v>1.4968242859975361E-2</v>
      </c>
      <c r="E30" s="3">
        <f>G30-K30</f>
        <v>0.22095586499999989</v>
      </c>
      <c r="F30" s="3">
        <f t="shared" si="2"/>
        <v>1.4007050999999895E-2</v>
      </c>
      <c r="G30" s="3">
        <v>0.22676352</v>
      </c>
      <c r="H30" s="3">
        <v>1.9814706000000001E-2</v>
      </c>
      <c r="I30" s="3">
        <v>3.2933371442698256E-2</v>
      </c>
      <c r="J30" s="3">
        <v>2.0775897859975467E-2</v>
      </c>
      <c r="K30" s="3">
        <v>5.8076550000001051E-3</v>
      </c>
    </row>
    <row r="31" spans="1:11" x14ac:dyDescent="0.2">
      <c r="A31" s="7">
        <f t="shared" si="3"/>
        <v>1976</v>
      </c>
      <c r="B31" s="5">
        <v>6</v>
      </c>
      <c r="C31" s="3">
        <f t="shared" si="0"/>
        <v>6.3907455970354989E-4</v>
      </c>
      <c r="D31" s="3">
        <f t="shared" si="1"/>
        <v>4.5342898129907263E-3</v>
      </c>
      <c r="E31" s="3">
        <f>G31-K31</f>
        <v>-5.3507015000000095E-2</v>
      </c>
      <c r="F31" s="3">
        <f t="shared" si="2"/>
        <v>6.2759459999999012E-3</v>
      </c>
      <c r="G31" s="3">
        <v>-4.8037669999999998E-2</v>
      </c>
      <c r="H31" s="3">
        <v>1.1745291E-2</v>
      </c>
      <c r="I31" s="3">
        <v>6.1084195597036484E-3</v>
      </c>
      <c r="J31" s="3">
        <v>1.0003634812990825E-2</v>
      </c>
      <c r="K31" s="3">
        <v>5.4693450000000985E-3</v>
      </c>
    </row>
    <row r="32" spans="1:11" x14ac:dyDescent="0.2">
      <c r="A32" s="7">
        <f t="shared" si="3"/>
        <v>1976</v>
      </c>
      <c r="B32" s="5">
        <v>7</v>
      </c>
      <c r="C32" s="3">
        <f t="shared" si="0"/>
        <v>8.7627816633716799E-2</v>
      </c>
      <c r="D32" s="3">
        <f t="shared" si="1"/>
        <v>6.8164943657325311E-2</v>
      </c>
      <c r="E32" s="3">
        <f>G32-K32</f>
        <v>0.57209878499999989</v>
      </c>
      <c r="F32" s="3">
        <f t="shared" si="2"/>
        <v>6.7921039999999891E-2</v>
      </c>
      <c r="G32" s="3">
        <v>0.57790644000000002</v>
      </c>
      <c r="H32" s="3">
        <v>7.3728694999999997E-2</v>
      </c>
      <c r="I32" s="3">
        <v>9.3435471633716904E-2</v>
      </c>
      <c r="J32" s="3">
        <v>7.3972598657325417E-2</v>
      </c>
      <c r="K32" s="3">
        <v>5.8076550000001051E-3</v>
      </c>
    </row>
    <row r="33" spans="1:11" x14ac:dyDescent="0.2">
      <c r="A33" s="7">
        <f t="shared" si="3"/>
        <v>1976</v>
      </c>
      <c r="B33" s="5">
        <v>8</v>
      </c>
      <c r="C33" s="3">
        <f t="shared" si="0"/>
        <v>2.324278103960923E-2</v>
      </c>
      <c r="D33" s="3">
        <f t="shared" si="1"/>
        <v>-9.6904202993831276E-3</v>
      </c>
      <c r="E33" s="3">
        <f>G33-K33</f>
        <v>0.13874817899999997</v>
      </c>
      <c r="F33" s="3">
        <f t="shared" si="2"/>
        <v>-1.3444950900000014E-2</v>
      </c>
      <c r="G33" s="3">
        <v>0.14459659999999999</v>
      </c>
      <c r="H33" s="3">
        <v>-7.5965299000000002E-3</v>
      </c>
      <c r="I33" s="3">
        <v>2.9091202039609243E-2</v>
      </c>
      <c r="J33" s="3">
        <v>-3.8419992993831142E-3</v>
      </c>
      <c r="K33" s="3">
        <v>5.8484210000000142E-3</v>
      </c>
    </row>
    <row r="34" spans="1:11" x14ac:dyDescent="0.2">
      <c r="A34" s="7">
        <f t="shared" si="3"/>
        <v>1976</v>
      </c>
      <c r="B34" s="5">
        <v>9</v>
      </c>
      <c r="C34" s="3">
        <f t="shared" si="0"/>
        <v>-9.5864517509432687E-3</v>
      </c>
      <c r="D34" s="3">
        <f t="shared" si="1"/>
        <v>-6.9316042717915319E-2</v>
      </c>
      <c r="E34" s="3">
        <f>G34-K34</f>
        <v>7.1575282999999892E-2</v>
      </c>
      <c r="F34" s="3">
        <f t="shared" si="2"/>
        <v>-6.9559851000000103E-2</v>
      </c>
      <c r="G34" s="3">
        <v>7.8186337999999994E-2</v>
      </c>
      <c r="H34" s="3">
        <v>-6.2948796000000001E-2</v>
      </c>
      <c r="I34" s="3">
        <v>-2.97539675094316E-3</v>
      </c>
      <c r="J34" s="3">
        <v>-6.2704987717915217E-2</v>
      </c>
      <c r="K34" s="3">
        <v>6.6110550000001078E-3</v>
      </c>
    </row>
    <row r="35" spans="1:11" x14ac:dyDescent="0.2">
      <c r="A35" s="7">
        <f t="shared" si="3"/>
        <v>1976</v>
      </c>
      <c r="B35" s="5">
        <v>10</v>
      </c>
      <c r="C35" s="3">
        <f t="shared" si="0"/>
        <v>-2.7312521329979446E-2</v>
      </c>
      <c r="D35" s="3">
        <f t="shared" si="1"/>
        <v>-4.948178151506203E-2</v>
      </c>
      <c r="E35" s="3">
        <f>G35-K35</f>
        <v>-4.75957030000001E-2</v>
      </c>
      <c r="F35" s="3">
        <f t="shared" si="2"/>
        <v>-4.8020690000000102E-2</v>
      </c>
      <c r="G35" s="3">
        <v>-4.1369758E-2</v>
      </c>
      <c r="H35" s="3">
        <v>-4.1794745000000001E-2</v>
      </c>
      <c r="I35" s="3">
        <v>-2.1086576329979345E-2</v>
      </c>
      <c r="J35" s="3">
        <v>-4.325583651506193E-2</v>
      </c>
      <c r="K35" s="3">
        <v>6.2259450000001016E-3</v>
      </c>
    </row>
    <row r="36" spans="1:11" x14ac:dyDescent="0.2">
      <c r="A36" s="7">
        <f t="shared" si="3"/>
        <v>1976</v>
      </c>
      <c r="B36" s="5">
        <v>11</v>
      </c>
      <c r="C36" s="3">
        <f t="shared" si="0"/>
        <v>-3.4233106302067016E-2</v>
      </c>
      <c r="D36" s="3">
        <f t="shared" si="1"/>
        <v>-4.6138458289868088E-2</v>
      </c>
      <c r="E36" s="3">
        <f>G36-K36</f>
        <v>-4.4017481000000032E-2</v>
      </c>
      <c r="F36" s="3">
        <f t="shared" si="2"/>
        <v>-4.9865525000000036E-2</v>
      </c>
      <c r="G36" s="3">
        <v>-3.6609823999999999E-2</v>
      </c>
      <c r="H36" s="3">
        <v>-4.2457868000000003E-2</v>
      </c>
      <c r="I36" s="3">
        <v>-2.6825449302066984E-2</v>
      </c>
      <c r="J36" s="3">
        <v>-3.8730801289868055E-2</v>
      </c>
      <c r="K36" s="3">
        <v>7.4076570000000301E-3</v>
      </c>
    </row>
    <row r="37" spans="1:11" x14ac:dyDescent="0.2">
      <c r="A37" s="7">
        <f t="shared" si="3"/>
        <v>1976</v>
      </c>
      <c r="B37" s="5">
        <v>12</v>
      </c>
      <c r="C37" s="3">
        <f t="shared" si="0"/>
        <v>4.2642106097848824E-3</v>
      </c>
      <c r="D37" s="3">
        <f t="shared" si="1"/>
        <v>2.9023993089348891E-2</v>
      </c>
      <c r="E37" s="3">
        <f>G37-K37</f>
        <v>1.0115401999999964E-2</v>
      </c>
      <c r="F37" s="3">
        <f t="shared" si="2"/>
        <v>1.4482814999999651E-3</v>
      </c>
      <c r="G37" s="3">
        <v>1.7001916999999998E-2</v>
      </c>
      <c r="H37" s="3">
        <v>8.3347965E-3</v>
      </c>
      <c r="I37" s="3">
        <v>1.1150725609784917E-2</v>
      </c>
      <c r="J37" s="3">
        <v>3.5910508089348925E-2</v>
      </c>
      <c r="K37" s="3">
        <v>6.8865150000000349E-3</v>
      </c>
    </row>
    <row r="38" spans="1:11" x14ac:dyDescent="0.2">
      <c r="A38" s="7">
        <f t="shared" si="3"/>
        <v>1977</v>
      </c>
      <c r="B38" s="5">
        <v>1</v>
      </c>
      <c r="C38" s="3">
        <f t="shared" si="0"/>
        <v>2.5540147659436546E-2</v>
      </c>
      <c r="D38" s="3">
        <f t="shared" si="1"/>
        <v>9.9661673677666485E-3</v>
      </c>
      <c r="E38" s="3">
        <f>G38-K38</f>
        <v>0.12144073599999991</v>
      </c>
      <c r="F38" s="3">
        <f t="shared" si="2"/>
        <v>8.5236149999999011E-3</v>
      </c>
      <c r="G38" s="3">
        <v>0.12854650000000001</v>
      </c>
      <c r="H38" s="3">
        <v>1.5629378999999999E-2</v>
      </c>
      <c r="I38" s="3">
        <v>3.2645911659436644E-2</v>
      </c>
      <c r="J38" s="3">
        <v>1.7071931367766746E-2</v>
      </c>
      <c r="K38" s="3">
        <v>7.1057640000000968E-3</v>
      </c>
    </row>
    <row r="39" spans="1:11" x14ac:dyDescent="0.2">
      <c r="A39" s="7">
        <f t="shared" si="3"/>
        <v>1977</v>
      </c>
      <c r="B39" s="5">
        <v>2</v>
      </c>
      <c r="C39" s="3">
        <f t="shared" si="0"/>
        <v>-1.2663891766291078E-3</v>
      </c>
      <c r="D39" s="3">
        <f t="shared" si="1"/>
        <v>-3.1510962307535556E-2</v>
      </c>
      <c r="E39" s="3">
        <f>G39-K39</f>
        <v>0.1494129639999999</v>
      </c>
      <c r="F39" s="3">
        <f t="shared" si="2"/>
        <v>-1.921600200000009E-2</v>
      </c>
      <c r="G39" s="3">
        <v>0.15610479999999999</v>
      </c>
      <c r="H39" s="3">
        <v>-1.2524166E-2</v>
      </c>
      <c r="I39" s="3">
        <v>5.4254468233709829E-3</v>
      </c>
      <c r="J39" s="3">
        <v>-2.4819126307535466E-2</v>
      </c>
      <c r="K39" s="3">
        <v>6.6918360000000907E-3</v>
      </c>
    </row>
    <row r="40" spans="1:11" x14ac:dyDescent="0.2">
      <c r="A40" s="7">
        <f t="shared" si="3"/>
        <v>1977</v>
      </c>
      <c r="B40" s="5">
        <v>3</v>
      </c>
      <c r="C40" s="3">
        <f t="shared" si="0"/>
        <v>2.0820502340043373E-2</v>
      </c>
      <c r="D40" s="3">
        <f t="shared" si="1"/>
        <v>3.9096929221114268E-2</v>
      </c>
      <c r="E40" s="3">
        <f>G40-K40</f>
        <v>0.12677480599999991</v>
      </c>
      <c r="F40" s="3">
        <f t="shared" si="2"/>
        <v>3.9102764999999901E-2</v>
      </c>
      <c r="G40" s="3">
        <v>0.13388057</v>
      </c>
      <c r="H40" s="3">
        <v>4.6208528999999998E-2</v>
      </c>
      <c r="I40" s="3">
        <v>2.7926266340043471E-2</v>
      </c>
      <c r="J40" s="3">
        <v>4.6202693221114366E-2</v>
      </c>
      <c r="K40" s="3">
        <v>7.1057640000000968E-3</v>
      </c>
    </row>
    <row r="41" spans="1:11" x14ac:dyDescent="0.2">
      <c r="A41" s="7">
        <f t="shared" si="3"/>
        <v>1977</v>
      </c>
      <c r="B41" s="5">
        <v>4</v>
      </c>
      <c r="C41" s="3">
        <f t="shared" si="0"/>
        <v>-7.7157296087057656E-4</v>
      </c>
      <c r="D41" s="3">
        <f t="shared" si="1"/>
        <v>-1.2317938665822509E-2</v>
      </c>
      <c r="E41" s="3">
        <f>G41-K41</f>
        <v>8.2240340999999911E-2</v>
      </c>
      <c r="F41" s="3">
        <f t="shared" si="2"/>
        <v>-8.117578000000911E-4</v>
      </c>
      <c r="G41" s="3">
        <v>8.8932177000000001E-2</v>
      </c>
      <c r="H41" s="3">
        <v>5.8800781999999996E-3</v>
      </c>
      <c r="I41" s="3">
        <v>5.9202630391295141E-3</v>
      </c>
      <c r="J41" s="3">
        <v>-5.6261026658224189E-3</v>
      </c>
      <c r="K41" s="3">
        <v>6.6918360000000907E-3</v>
      </c>
    </row>
    <row r="42" spans="1:11" x14ac:dyDescent="0.2">
      <c r="A42" s="7">
        <f t="shared" si="3"/>
        <v>1977</v>
      </c>
      <c r="B42" s="5">
        <v>5</v>
      </c>
      <c r="C42" s="3">
        <f t="shared" si="0"/>
        <v>4.6655091181159153E-2</v>
      </c>
      <c r="D42" s="3">
        <f t="shared" si="1"/>
        <v>3.6328754230898069E-2</v>
      </c>
      <c r="E42" s="3">
        <f>G42-K42</f>
        <v>0.1618605659999999</v>
      </c>
      <c r="F42" s="3">
        <f t="shared" si="2"/>
        <v>5.00139849999999E-2</v>
      </c>
      <c r="G42" s="3">
        <v>0.16896633</v>
      </c>
      <c r="H42" s="3">
        <v>5.7119748999999997E-2</v>
      </c>
      <c r="I42" s="3">
        <v>5.3760855181159251E-2</v>
      </c>
      <c r="J42" s="3">
        <v>4.3434518230898167E-2</v>
      </c>
      <c r="K42" s="3">
        <v>7.1057640000000968E-3</v>
      </c>
    </row>
    <row r="43" spans="1:11" x14ac:dyDescent="0.2">
      <c r="A43" s="7">
        <f t="shared" si="3"/>
        <v>1977</v>
      </c>
      <c r="B43" s="5">
        <v>6</v>
      </c>
      <c r="C43" s="3">
        <f t="shared" si="0"/>
        <v>2.2191306495066315E-2</v>
      </c>
      <c r="D43" s="3">
        <f t="shared" si="1"/>
        <v>-5.7923215104358225E-3</v>
      </c>
      <c r="E43" s="3">
        <f>G43-K43</f>
        <v>0.12368774399999991</v>
      </c>
      <c r="F43" s="3">
        <f t="shared" si="2"/>
        <v>2.1841520999999085E-3</v>
      </c>
      <c r="G43" s="3">
        <v>0.13037957999999999</v>
      </c>
      <c r="H43" s="3">
        <v>8.8759880999999992E-3</v>
      </c>
      <c r="I43" s="3">
        <v>2.8883142495066405E-2</v>
      </c>
      <c r="J43" s="3">
        <v>8.9951448956426816E-4</v>
      </c>
      <c r="K43" s="3">
        <v>6.6918360000000907E-3</v>
      </c>
    </row>
    <row r="44" spans="1:11" x14ac:dyDescent="0.2">
      <c r="A44" s="7">
        <f t="shared" si="3"/>
        <v>1977</v>
      </c>
      <c r="B44" s="5">
        <v>7</v>
      </c>
      <c r="C44" s="3">
        <f t="shared" si="0"/>
        <v>2.3701512963509426E-2</v>
      </c>
      <c r="D44" s="3">
        <f t="shared" si="1"/>
        <v>-4.313858072725462E-2</v>
      </c>
      <c r="E44" s="3">
        <f>G44-K44</f>
        <v>5.951668600000002E-2</v>
      </c>
      <c r="F44" s="3">
        <f t="shared" si="2"/>
        <v>-1.8047339999999981E-2</v>
      </c>
      <c r="G44" s="3">
        <v>6.6558796000000003E-2</v>
      </c>
      <c r="H44" s="3">
        <v>-1.100523E-2</v>
      </c>
      <c r="I44" s="3">
        <v>3.0743622963509409E-2</v>
      </c>
      <c r="J44" s="3">
        <v>-3.6096470727254637E-2</v>
      </c>
      <c r="K44" s="3">
        <v>7.0421099999999816E-3</v>
      </c>
    </row>
    <row r="45" spans="1:11" x14ac:dyDescent="0.2">
      <c r="A45" s="7">
        <f t="shared" si="3"/>
        <v>1977</v>
      </c>
      <c r="B45" s="5">
        <v>8</v>
      </c>
      <c r="C45" s="3">
        <f t="shared" si="0"/>
        <v>1.1830562194094165E-2</v>
      </c>
      <c r="D45" s="3">
        <f t="shared" si="1"/>
        <v>-3.0900157124519441E-2</v>
      </c>
      <c r="E45" s="3">
        <f>G45-K45</f>
        <v>-4.9855918999999818E-3</v>
      </c>
      <c r="F45" s="3">
        <f t="shared" si="2"/>
        <v>-2.8420123999999984E-2</v>
      </c>
      <c r="G45" s="3">
        <v>1.6462981000000001E-3</v>
      </c>
      <c r="H45" s="3">
        <v>-2.1788234E-2</v>
      </c>
      <c r="I45" s="3">
        <v>1.8462452194094148E-2</v>
      </c>
      <c r="J45" s="3">
        <v>-2.426826712451946E-2</v>
      </c>
      <c r="K45" s="3">
        <v>6.6318899999999823E-3</v>
      </c>
    </row>
    <row r="46" spans="1:11" x14ac:dyDescent="0.2">
      <c r="A46" s="7">
        <f t="shared" si="3"/>
        <v>1977</v>
      </c>
      <c r="B46" s="5">
        <v>9</v>
      </c>
      <c r="C46" s="3">
        <f t="shared" si="0"/>
        <v>4.2768833637854449E-2</v>
      </c>
      <c r="D46" s="3">
        <f t="shared" si="1"/>
        <v>1.2490310979804473E-2</v>
      </c>
      <c r="E46" s="3">
        <f>G46-K46</f>
        <v>8.9124723000000017E-2</v>
      </c>
      <c r="F46" s="3">
        <f t="shared" si="2"/>
        <v>1.8594591000000021E-2</v>
      </c>
      <c r="G46" s="3">
        <v>9.6166832999999993E-2</v>
      </c>
      <c r="H46" s="3">
        <v>2.5636701000000001E-2</v>
      </c>
      <c r="I46" s="3">
        <v>4.9810943637854432E-2</v>
      </c>
      <c r="J46" s="3">
        <v>1.9532420979804455E-2</v>
      </c>
      <c r="K46" s="3">
        <v>7.0421099999999816E-3</v>
      </c>
    </row>
    <row r="47" spans="1:11" x14ac:dyDescent="0.2">
      <c r="A47" s="7">
        <f t="shared" si="3"/>
        <v>1977</v>
      </c>
      <c r="B47" s="5">
        <v>10</v>
      </c>
      <c r="C47" s="3">
        <f t="shared" si="0"/>
        <v>4.6261936437613324E-2</v>
      </c>
      <c r="D47" s="3">
        <f t="shared" si="1"/>
        <v>5.4662590670530462E-2</v>
      </c>
      <c r="E47" s="3">
        <f>G47-K47</f>
        <v>0.13776739299999999</v>
      </c>
      <c r="F47" s="3">
        <f t="shared" si="2"/>
        <v>5.6446984999999963E-2</v>
      </c>
      <c r="G47" s="3">
        <v>0.14433924000000001</v>
      </c>
      <c r="H47" s="3">
        <v>6.3018831999999997E-2</v>
      </c>
      <c r="I47" s="3">
        <v>5.2833783437613357E-2</v>
      </c>
      <c r="J47" s="3">
        <v>6.1234437670530495E-2</v>
      </c>
      <c r="K47" s="3">
        <v>6.5718470000000325E-3</v>
      </c>
    </row>
    <row r="48" spans="1:11" x14ac:dyDescent="0.2">
      <c r="A48" s="7">
        <f t="shared" si="3"/>
        <v>1977</v>
      </c>
      <c r="B48" s="5">
        <v>11</v>
      </c>
      <c r="C48" s="3">
        <f t="shared" si="0"/>
        <v>1.1122488925114226E-2</v>
      </c>
      <c r="D48" s="3">
        <f t="shared" si="1"/>
        <v>-2.1765861758598536E-2</v>
      </c>
      <c r="E48" s="3">
        <f>G48-K48</f>
        <v>5.7459888000000035E-2</v>
      </c>
      <c r="F48" s="3">
        <f t="shared" si="2"/>
        <v>-1.7072970999999972E-2</v>
      </c>
      <c r="G48" s="3">
        <v>6.4366450000000006E-2</v>
      </c>
      <c r="H48" s="3">
        <v>-1.0166409E-2</v>
      </c>
      <c r="I48" s="3">
        <v>1.8029050925114198E-2</v>
      </c>
      <c r="J48" s="3">
        <v>-1.4859299758598565E-2</v>
      </c>
      <c r="K48" s="3">
        <v>6.906561999999972E-3</v>
      </c>
    </row>
    <row r="49" spans="1:11" x14ac:dyDescent="0.2">
      <c r="A49" s="7">
        <f t="shared" si="3"/>
        <v>1977</v>
      </c>
      <c r="B49" s="5">
        <v>12</v>
      </c>
      <c r="C49" s="3">
        <f t="shared" si="0"/>
        <v>6.4368717875125131E-2</v>
      </c>
      <c r="D49" s="3">
        <f t="shared" si="1"/>
        <v>7.0248480681063957E-2</v>
      </c>
      <c r="E49" s="3">
        <f>G49-K49</f>
        <v>3.9822898000000023E-2</v>
      </c>
      <c r="F49" s="3">
        <f t="shared" si="2"/>
        <v>8.3211568000000027E-2</v>
      </c>
      <c r="G49" s="3">
        <v>4.6327135999999998E-2</v>
      </c>
      <c r="H49" s="3">
        <v>8.9715805999999995E-2</v>
      </c>
      <c r="I49" s="3">
        <v>7.0872955875125099E-2</v>
      </c>
      <c r="J49" s="3">
        <v>7.6752718681063925E-2</v>
      </c>
      <c r="K49" s="3">
        <v>6.504237999999973E-3</v>
      </c>
    </row>
    <row r="50" spans="1:11" x14ac:dyDescent="0.2">
      <c r="A50" s="7">
        <f t="shared" si="3"/>
        <v>1978</v>
      </c>
      <c r="B50" s="5">
        <v>1</v>
      </c>
      <c r="C50" s="3">
        <f t="shared" si="0"/>
        <v>3.9064566405127656E-2</v>
      </c>
      <c r="D50" s="3">
        <f t="shared" si="1"/>
        <v>-2.3189897460851115E-2</v>
      </c>
      <c r="E50" s="3">
        <f>G50-K50</f>
        <v>0.12705913800000002</v>
      </c>
      <c r="F50" s="3">
        <f t="shared" si="2"/>
        <v>-1.9580844999999972E-2</v>
      </c>
      <c r="G50" s="3">
        <v>0.13396569999999999</v>
      </c>
      <c r="H50" s="3">
        <v>-1.2674283E-2</v>
      </c>
      <c r="I50" s="3">
        <v>4.5971128405127626E-2</v>
      </c>
      <c r="J50" s="3">
        <v>-1.6283335460851145E-2</v>
      </c>
      <c r="K50" s="3">
        <v>6.906561999999972E-3</v>
      </c>
    </row>
    <row r="51" spans="1:11" x14ac:dyDescent="0.2">
      <c r="A51" s="7">
        <f t="shared" si="3"/>
        <v>1978</v>
      </c>
      <c r="B51" s="5">
        <v>2</v>
      </c>
      <c r="C51" s="3">
        <f t="shared" si="0"/>
        <v>4.8803086070870142E-3</v>
      </c>
      <c r="D51" s="3">
        <f t="shared" si="1"/>
        <v>-4.5321392080608904E-2</v>
      </c>
      <c r="E51" s="3">
        <f>G51-K51</f>
        <v>4.7029540000000022E-2</v>
      </c>
      <c r="F51" s="3">
        <f t="shared" si="2"/>
        <v>-4.7139117999999973E-2</v>
      </c>
      <c r="G51" s="3">
        <v>5.3533777999999997E-2</v>
      </c>
      <c r="H51" s="3">
        <v>-4.0634879999999998E-2</v>
      </c>
      <c r="I51" s="3">
        <v>1.1384546607086987E-2</v>
      </c>
      <c r="J51" s="3">
        <v>-3.8817154080608929E-2</v>
      </c>
      <c r="K51" s="3">
        <v>6.504237999999973E-3</v>
      </c>
    </row>
    <row r="52" spans="1:11" x14ac:dyDescent="0.2">
      <c r="A52" s="7">
        <f t="shared" si="3"/>
        <v>1978</v>
      </c>
      <c r="B52" s="5">
        <v>3</v>
      </c>
      <c r="C52" s="3">
        <f t="shared" si="0"/>
        <v>1.0706844084079381E-2</v>
      </c>
      <c r="D52" s="3">
        <f t="shared" si="1"/>
        <v>3.3396810586752791E-2</v>
      </c>
      <c r="E52" s="3">
        <f>G52-K52</f>
        <v>2.7172627000000033E-2</v>
      </c>
      <c r="F52" s="3">
        <f t="shared" si="2"/>
        <v>2.9495863000000032E-2</v>
      </c>
      <c r="G52" s="3">
        <v>3.4079189000000003E-2</v>
      </c>
      <c r="H52" s="3">
        <v>3.6402425000000002E-2</v>
      </c>
      <c r="I52" s="3">
        <v>1.7613406084079353E-2</v>
      </c>
      <c r="J52" s="3">
        <v>4.0303372586752761E-2</v>
      </c>
      <c r="K52" s="3">
        <v>6.906561999999972E-3</v>
      </c>
    </row>
    <row r="53" spans="1:11" x14ac:dyDescent="0.2">
      <c r="A53" s="7">
        <f t="shared" si="3"/>
        <v>1978</v>
      </c>
      <c r="B53" s="5">
        <v>4</v>
      </c>
      <c r="C53" s="3">
        <f t="shared" si="0"/>
        <v>4.2240628216577501E-2</v>
      </c>
      <c r="D53" s="3">
        <f t="shared" si="1"/>
        <v>5.5092703090037019E-2</v>
      </c>
      <c r="E53" s="3">
        <f>G53-K53</f>
        <v>0.13968653200000003</v>
      </c>
      <c r="F53" s="3">
        <f t="shared" si="2"/>
        <v>4.7340704000000025E-2</v>
      </c>
      <c r="G53" s="3">
        <v>0.14619077</v>
      </c>
      <c r="H53" s="3">
        <v>5.3844942E-2</v>
      </c>
      <c r="I53" s="3">
        <v>4.8744866216577476E-2</v>
      </c>
      <c r="J53" s="3">
        <v>6.1596941090036994E-2</v>
      </c>
      <c r="K53" s="3">
        <v>6.504237999999973E-3</v>
      </c>
    </row>
    <row r="54" spans="1:11" x14ac:dyDescent="0.2">
      <c r="A54" s="7">
        <f t="shared" si="3"/>
        <v>1978</v>
      </c>
      <c r="B54" s="5">
        <v>5</v>
      </c>
      <c r="C54" s="3">
        <f t="shared" si="0"/>
        <v>0.11772022755186537</v>
      </c>
      <c r="D54" s="3">
        <f t="shared" si="1"/>
        <v>4.6409691976513325E-2</v>
      </c>
      <c r="E54" s="3">
        <f>G54-K54</f>
        <v>0.59138702800000009</v>
      </c>
      <c r="F54" s="3">
        <f t="shared" si="2"/>
        <v>4.0552530000000031E-2</v>
      </c>
      <c r="G54" s="3">
        <v>0.59829359000000004</v>
      </c>
      <c r="H54" s="3">
        <v>4.7459092000000001E-2</v>
      </c>
      <c r="I54" s="3">
        <v>0.12462678955186535</v>
      </c>
      <c r="J54" s="3">
        <v>5.3316253976513295E-2</v>
      </c>
      <c r="K54" s="3">
        <v>6.906561999999972E-3</v>
      </c>
    </row>
    <row r="55" spans="1:11" x14ac:dyDescent="0.2">
      <c r="A55" s="7">
        <f t="shared" si="3"/>
        <v>1978</v>
      </c>
      <c r="B55" s="5">
        <v>6</v>
      </c>
      <c r="C55" s="3">
        <f t="shared" si="0"/>
        <v>2.9613842755582768E-3</v>
      </c>
      <c r="D55" s="3">
        <f t="shared" si="1"/>
        <v>-1.639431450531046E-2</v>
      </c>
      <c r="E55" s="3">
        <f>G55-K55</f>
        <v>2.0571619000000027E-2</v>
      </c>
      <c r="F55" s="3">
        <f t="shared" si="2"/>
        <v>-1.3490499399999974E-2</v>
      </c>
      <c r="G55" s="3">
        <v>2.7075856999999998E-2</v>
      </c>
      <c r="H55" s="3">
        <v>-6.9862613999999998E-3</v>
      </c>
      <c r="I55" s="3">
        <v>9.4656222755582498E-3</v>
      </c>
      <c r="J55" s="3">
        <v>-9.8900765053104855E-3</v>
      </c>
      <c r="K55" s="3">
        <v>6.504237999999973E-3</v>
      </c>
    </row>
    <row r="56" spans="1:11" x14ac:dyDescent="0.2">
      <c r="A56" s="7">
        <f t="shared" si="3"/>
        <v>1978</v>
      </c>
      <c r="B56" s="5">
        <v>7</v>
      </c>
      <c r="C56" s="3">
        <f t="shared" si="0"/>
        <v>6.5980210378813603E-2</v>
      </c>
      <c r="D56" s="3">
        <f t="shared" si="1"/>
        <v>4.6071663669938957E-2</v>
      </c>
      <c r="E56" s="3">
        <f>G56-K56</f>
        <v>0.28589940800000008</v>
      </c>
      <c r="F56" s="3">
        <f t="shared" si="2"/>
        <v>3.3138811000000032E-2</v>
      </c>
      <c r="G56" s="3">
        <v>0.29280597000000003</v>
      </c>
      <c r="H56" s="3">
        <v>4.0045373000000002E-2</v>
      </c>
      <c r="I56" s="3">
        <v>7.288677237881358E-2</v>
      </c>
      <c r="J56" s="3">
        <v>5.2978225669938928E-2</v>
      </c>
      <c r="K56" s="3">
        <v>6.906561999999972E-3</v>
      </c>
    </row>
    <row r="57" spans="1:11" x14ac:dyDescent="0.2">
      <c r="A57" s="7">
        <f t="shared" si="3"/>
        <v>1978</v>
      </c>
      <c r="B57" s="5">
        <v>8</v>
      </c>
      <c r="C57" s="3">
        <f t="shared" si="0"/>
        <v>7.7851930184185375E-2</v>
      </c>
      <c r="D57" s="3">
        <f t="shared" si="1"/>
        <v>5.3033427883896665E-2</v>
      </c>
      <c r="E57" s="3">
        <f>G57-K57</f>
        <v>0.46412356199999999</v>
      </c>
      <c r="F57" s="3">
        <f t="shared" si="2"/>
        <v>3.7596705000000022E-2</v>
      </c>
      <c r="G57" s="3">
        <v>0.47062779999999999</v>
      </c>
      <c r="H57" s="3">
        <v>4.4100942999999997E-2</v>
      </c>
      <c r="I57" s="3">
        <v>8.4356168184185343E-2</v>
      </c>
      <c r="J57" s="3">
        <v>5.953766588389664E-2</v>
      </c>
      <c r="K57" s="3">
        <v>6.504237999999973E-3</v>
      </c>
    </row>
    <row r="58" spans="1:11" x14ac:dyDescent="0.2">
      <c r="A58" s="7">
        <f t="shared" si="3"/>
        <v>1978</v>
      </c>
      <c r="B58" s="5">
        <v>9</v>
      </c>
      <c r="C58" s="3">
        <f t="shared" si="0"/>
        <v>5.2718065272022253E-2</v>
      </c>
      <c r="D58" s="3">
        <f t="shared" si="1"/>
        <v>3.4731296187086681E-2</v>
      </c>
      <c r="E58" s="3">
        <f>G58-K58</f>
        <v>0.14850645800000004</v>
      </c>
      <c r="F58" s="3">
        <f t="shared" si="2"/>
        <v>2.8732147000000027E-2</v>
      </c>
      <c r="G58" s="3">
        <v>0.15541302000000001</v>
      </c>
      <c r="H58" s="3">
        <v>3.5638708999999998E-2</v>
      </c>
      <c r="I58" s="3">
        <v>5.9624627272022224E-2</v>
      </c>
      <c r="J58" s="3">
        <v>4.1637858187086652E-2</v>
      </c>
      <c r="K58" s="3">
        <v>6.906561999999972E-3</v>
      </c>
    </row>
    <row r="59" spans="1:11" x14ac:dyDescent="0.2">
      <c r="A59" s="7">
        <f t="shared" si="3"/>
        <v>1978</v>
      </c>
      <c r="B59" s="5">
        <v>10</v>
      </c>
      <c r="C59" s="3">
        <f t="shared" si="0"/>
        <v>-2.8573977915853789E-2</v>
      </c>
      <c r="D59" s="3">
        <f t="shared" si="1"/>
        <v>-5.5727966085738469E-2</v>
      </c>
      <c r="E59" s="3">
        <f>G59-K59</f>
        <v>-0.11160660799999997</v>
      </c>
      <c r="F59" s="3">
        <f t="shared" si="2"/>
        <v>-5.1663403999999975E-2</v>
      </c>
      <c r="G59" s="3">
        <v>-0.10510237</v>
      </c>
      <c r="H59" s="3">
        <v>-4.5159166000000001E-2</v>
      </c>
      <c r="I59" s="3">
        <v>-2.2069739915853814E-2</v>
      </c>
      <c r="J59" s="3">
        <v>-4.9223728085738494E-2</v>
      </c>
      <c r="K59" s="3">
        <v>6.504237999999973E-3</v>
      </c>
    </row>
    <row r="60" spans="1:11" x14ac:dyDescent="0.2">
      <c r="A60" s="7">
        <f t="shared" si="3"/>
        <v>1978</v>
      </c>
      <c r="B60" s="5">
        <v>11</v>
      </c>
      <c r="C60" s="3">
        <f t="shared" si="0"/>
        <v>-1.7867091798402311E-2</v>
      </c>
      <c r="D60" s="3">
        <f t="shared" si="1"/>
        <v>-1.2561766535183505E-2</v>
      </c>
      <c r="E60" s="3">
        <f>G60-K60</f>
        <v>-6.4342771999999979E-2</v>
      </c>
      <c r="F60" s="3">
        <f t="shared" si="2"/>
        <v>-2.4795756999999974E-2</v>
      </c>
      <c r="G60" s="3">
        <v>-5.7436210000000001E-2</v>
      </c>
      <c r="H60" s="3">
        <v>-1.7889195E-2</v>
      </c>
      <c r="I60" s="3">
        <v>-1.0960529798402341E-2</v>
      </c>
      <c r="J60" s="3">
        <v>-5.6552045351835334E-3</v>
      </c>
      <c r="K60" s="3">
        <v>6.906561999999972E-3</v>
      </c>
    </row>
    <row r="61" spans="1:11" x14ac:dyDescent="0.2">
      <c r="A61" s="7">
        <f t="shared" si="3"/>
        <v>1978</v>
      </c>
      <c r="B61" s="5">
        <v>12</v>
      </c>
      <c r="C61" s="3">
        <f t="shared" si="0"/>
        <v>2.7199692260176732E-2</v>
      </c>
      <c r="D61" s="3">
        <f t="shared" si="1"/>
        <v>3.1904521641735316E-2</v>
      </c>
      <c r="E61" s="3">
        <f>G61-K61</f>
        <v>8.5318879000000028E-2</v>
      </c>
      <c r="F61" s="3">
        <f t="shared" si="2"/>
        <v>2.2291710000000027E-2</v>
      </c>
      <c r="G61" s="3">
        <v>9.1823116999999996E-2</v>
      </c>
      <c r="H61" s="3">
        <v>2.8795947999999998E-2</v>
      </c>
      <c r="I61" s="3">
        <v>3.3703930260176707E-2</v>
      </c>
      <c r="J61" s="3">
        <v>3.8408759641735291E-2</v>
      </c>
      <c r="K61" s="3">
        <v>6.504237999999973E-3</v>
      </c>
    </row>
    <row r="62" spans="1:11" x14ac:dyDescent="0.2">
      <c r="A62" s="7">
        <f t="shared" si="3"/>
        <v>1979</v>
      </c>
      <c r="B62" s="5">
        <v>1</v>
      </c>
      <c r="C62" s="3">
        <f t="shared" si="0"/>
        <v>4.9841294213523547E-2</v>
      </c>
      <c r="D62" s="3">
        <f t="shared" si="1"/>
        <v>4.3096238542641198E-2</v>
      </c>
      <c r="E62" s="3">
        <f>G62-K62</f>
        <v>0.19067058800000003</v>
      </c>
      <c r="F62" s="3">
        <f t="shared" si="2"/>
        <v>4.0914991000000032E-2</v>
      </c>
      <c r="G62" s="3">
        <v>0.19757715000000001</v>
      </c>
      <c r="H62" s="3">
        <v>4.7821553000000003E-2</v>
      </c>
      <c r="I62" s="3">
        <v>5.6747856213523518E-2</v>
      </c>
      <c r="J62" s="3">
        <v>5.0002800542641168E-2</v>
      </c>
      <c r="K62" s="3">
        <v>6.906561999999972E-3</v>
      </c>
    </row>
    <row r="63" spans="1:11" x14ac:dyDescent="0.2">
      <c r="A63" s="7">
        <f t="shared" si="3"/>
        <v>1979</v>
      </c>
      <c r="B63" s="5">
        <v>2</v>
      </c>
      <c r="C63" s="3">
        <f t="shared" si="0"/>
        <v>2.5004344408915878E-2</v>
      </c>
      <c r="D63" s="3">
        <f t="shared" si="1"/>
        <v>2.4764513957896049E-2</v>
      </c>
      <c r="E63" s="3">
        <f>G63-K63</f>
        <v>8.535299200000003E-2</v>
      </c>
      <c r="F63" s="3">
        <f t="shared" si="2"/>
        <v>5.4249220000000264E-3</v>
      </c>
      <c r="G63" s="3">
        <v>9.1857229999999998E-2</v>
      </c>
      <c r="H63" s="3">
        <v>1.1929159999999999E-2</v>
      </c>
      <c r="I63" s="3">
        <v>3.1508582408915853E-2</v>
      </c>
      <c r="J63" s="3">
        <v>3.1268751957896024E-2</v>
      </c>
      <c r="K63" s="3">
        <v>6.504237999999973E-3</v>
      </c>
    </row>
    <row r="64" spans="1:11" x14ac:dyDescent="0.2">
      <c r="A64" s="7">
        <f t="shared" si="3"/>
        <v>1979</v>
      </c>
      <c r="B64" s="5">
        <v>3</v>
      </c>
      <c r="C64" s="3">
        <f t="shared" si="0"/>
        <v>1.8503991848467939E-2</v>
      </c>
      <c r="D64" s="3">
        <f t="shared" si="1"/>
        <v>1.4358271246599918E-2</v>
      </c>
      <c r="E64" s="3">
        <f>G64-K64</f>
        <v>5.5952393000000024E-2</v>
      </c>
      <c r="F64" s="3">
        <f t="shared" si="2"/>
        <v>2.5539284000000283E-3</v>
      </c>
      <c r="G64" s="3">
        <v>6.2858954999999994E-2</v>
      </c>
      <c r="H64" s="3">
        <v>9.4604904000000004E-3</v>
      </c>
      <c r="I64" s="3">
        <v>2.5410553848467909E-2</v>
      </c>
      <c r="J64" s="3">
        <v>2.126483324659989E-2</v>
      </c>
      <c r="K64" s="3">
        <v>6.906561999999972E-3</v>
      </c>
    </row>
    <row r="65" spans="1:11" x14ac:dyDescent="0.2">
      <c r="A65" s="7">
        <f t="shared" si="3"/>
        <v>1979</v>
      </c>
      <c r="B65" s="5">
        <v>4</v>
      </c>
      <c r="C65" s="3">
        <f t="shared" si="0"/>
        <v>-1.0210555123464523E-2</v>
      </c>
      <c r="D65" s="3">
        <f t="shared" si="1"/>
        <v>-1.5797559121202117E-2</v>
      </c>
      <c r="E65" s="3">
        <f>G65-K65</f>
        <v>-1.7517049000000024E-2</v>
      </c>
      <c r="F65" s="3">
        <f t="shared" si="2"/>
        <v>-2.7424124000000025E-2</v>
      </c>
      <c r="G65" s="3">
        <v>-1.0511029999999999E-2</v>
      </c>
      <c r="H65" s="3">
        <v>-2.0418104999999999E-2</v>
      </c>
      <c r="I65" s="3">
        <v>-3.2045361234644965E-3</v>
      </c>
      <c r="J65" s="3">
        <v>-8.7915401212020905E-3</v>
      </c>
      <c r="K65" s="3">
        <v>7.0060190000000256E-3</v>
      </c>
    </row>
    <row r="66" spans="1:11" x14ac:dyDescent="0.2">
      <c r="A66" s="7">
        <f t="shared" si="3"/>
        <v>1979</v>
      </c>
      <c r="B66" s="5">
        <v>5</v>
      </c>
      <c r="C66" s="3">
        <f t="shared" si="0"/>
        <v>1.4101372771183781E-2</v>
      </c>
      <c r="D66" s="3">
        <f t="shared" si="1"/>
        <v>2.1477245309374723E-2</v>
      </c>
      <c r="E66" s="3">
        <f>G66-K66</f>
        <v>-2.8004154000000028E-2</v>
      </c>
      <c r="F66" s="3">
        <f t="shared" si="2"/>
        <v>2.9009605999999976E-2</v>
      </c>
      <c r="G66" s="3">
        <v>-2.0564773000000001E-2</v>
      </c>
      <c r="H66" s="3">
        <v>3.6448987000000002E-2</v>
      </c>
      <c r="I66" s="3">
        <v>2.1540753771183807E-2</v>
      </c>
      <c r="J66" s="3">
        <v>2.8916626309374749E-2</v>
      </c>
      <c r="K66" s="3">
        <v>7.439381000000027E-3</v>
      </c>
    </row>
    <row r="67" spans="1:11" x14ac:dyDescent="0.2">
      <c r="A67" s="7">
        <f t="shared" si="3"/>
        <v>1979</v>
      </c>
      <c r="B67" s="5">
        <v>6</v>
      </c>
      <c r="C67" s="3">
        <f t="shared" ref="C67:C130" si="4">I67-K67</f>
        <v>1.5958634648849989E-3</v>
      </c>
      <c r="D67" s="3">
        <f t="shared" ref="D67:D130" si="5">J67-K67</f>
        <v>-1.8691011328702708E-2</v>
      </c>
      <c r="E67" s="3">
        <f>G67-K67</f>
        <v>2.1040522999999974E-2</v>
      </c>
      <c r="F67" s="3">
        <f t="shared" ref="F67:F130" si="6">H67-K67</f>
        <v>-1.2738585600000026E-2</v>
      </c>
      <c r="G67" s="3">
        <v>2.8046542000000001E-2</v>
      </c>
      <c r="H67" s="3">
        <v>-5.7325665999999999E-3</v>
      </c>
      <c r="I67" s="3">
        <v>8.6018824648850245E-3</v>
      </c>
      <c r="J67" s="3">
        <v>-1.1684992328702681E-2</v>
      </c>
      <c r="K67" s="3">
        <v>7.0060190000000256E-3</v>
      </c>
    </row>
    <row r="68" spans="1:11" x14ac:dyDescent="0.2">
      <c r="A68" s="7">
        <f t="shared" si="3"/>
        <v>1979</v>
      </c>
      <c r="B68" s="5">
        <v>7</v>
      </c>
      <c r="C68" s="3">
        <f t="shared" si="4"/>
        <v>6.4118625522285588E-2</v>
      </c>
      <c r="D68" s="3">
        <f t="shared" si="5"/>
        <v>2.1387467351829888E-2</v>
      </c>
      <c r="E68" s="3">
        <f>G68-K68</f>
        <v>0.21563233899999998</v>
      </c>
      <c r="F68" s="3">
        <f t="shared" si="6"/>
        <v>2.9562723999999974E-2</v>
      </c>
      <c r="G68" s="3">
        <v>0.22307172</v>
      </c>
      <c r="H68" s="3">
        <v>3.7002105E-2</v>
      </c>
      <c r="I68" s="3">
        <v>7.1558006522285611E-2</v>
      </c>
      <c r="J68" s="3">
        <v>2.8826848351829915E-2</v>
      </c>
      <c r="K68" s="3">
        <v>7.439381000000027E-3</v>
      </c>
    </row>
    <row r="69" spans="1:11" x14ac:dyDescent="0.2">
      <c r="A69" s="7">
        <f t="shared" si="3"/>
        <v>1979</v>
      </c>
      <c r="B69" s="5">
        <v>8</v>
      </c>
      <c r="C69" s="3">
        <f t="shared" si="4"/>
        <v>8.1609757301217611E-2</v>
      </c>
      <c r="D69" s="3">
        <f t="shared" si="5"/>
        <v>9.2454316425661098E-2</v>
      </c>
      <c r="E69" s="3">
        <f>G69-K69</f>
        <v>0.11555533099999997</v>
      </c>
      <c r="F69" s="3">
        <f t="shared" si="6"/>
        <v>7.6741833999999967E-2</v>
      </c>
      <c r="G69" s="3">
        <v>0.12256135</v>
      </c>
      <c r="H69" s="3">
        <v>8.3747852999999997E-2</v>
      </c>
      <c r="I69" s="3">
        <v>8.8615776301217641E-2</v>
      </c>
      <c r="J69" s="3">
        <v>9.9460335425661128E-2</v>
      </c>
      <c r="K69" s="3">
        <v>7.0060190000000256E-3</v>
      </c>
    </row>
    <row r="70" spans="1:11" x14ac:dyDescent="0.2">
      <c r="A70" s="7">
        <f t="shared" si="3"/>
        <v>1979</v>
      </c>
      <c r="B70" s="5">
        <v>9</v>
      </c>
      <c r="C70" s="3">
        <f t="shared" si="4"/>
        <v>8.3997549795518489E-2</v>
      </c>
      <c r="D70" s="3">
        <f t="shared" si="5"/>
        <v>6.2745542642256458E-2</v>
      </c>
      <c r="E70" s="3">
        <f>G70-K70</f>
        <v>0.22159561899999997</v>
      </c>
      <c r="F70" s="3">
        <f t="shared" si="6"/>
        <v>6.6696803999999971E-2</v>
      </c>
      <c r="G70" s="3">
        <v>0.22903499999999999</v>
      </c>
      <c r="H70" s="3">
        <v>7.4136184999999993E-2</v>
      </c>
      <c r="I70" s="3">
        <v>9.1436930795518512E-2</v>
      </c>
      <c r="J70" s="3">
        <v>7.018492364225648E-2</v>
      </c>
      <c r="K70" s="3">
        <v>7.439381000000027E-3</v>
      </c>
    </row>
    <row r="71" spans="1:11" x14ac:dyDescent="0.2">
      <c r="A71" s="7">
        <f t="shared" si="3"/>
        <v>1979</v>
      </c>
      <c r="B71" s="5">
        <v>10</v>
      </c>
      <c r="C71" s="3">
        <f t="shared" si="4"/>
        <v>2.1966134922274675E-2</v>
      </c>
      <c r="D71" s="3">
        <f t="shared" si="5"/>
        <v>1.4358900778920717E-2</v>
      </c>
      <c r="E71" s="3">
        <f>G71-K71</f>
        <v>7.2234733999999967E-2</v>
      </c>
      <c r="F71" s="3">
        <f t="shared" si="6"/>
        <v>2.9669800999999971E-2</v>
      </c>
      <c r="G71" s="3">
        <v>7.9240752999999997E-2</v>
      </c>
      <c r="H71" s="3">
        <v>3.6675819999999998E-2</v>
      </c>
      <c r="I71" s="3">
        <v>2.8972153922274702E-2</v>
      </c>
      <c r="J71" s="3">
        <v>2.1364919778920743E-2</v>
      </c>
      <c r="K71" s="3">
        <v>7.0060190000000256E-3</v>
      </c>
    </row>
    <row r="72" spans="1:11" x14ac:dyDescent="0.2">
      <c r="A72" s="7">
        <f t="shared" si="3"/>
        <v>1979</v>
      </c>
      <c r="B72" s="5">
        <v>11</v>
      </c>
      <c r="C72" s="3">
        <f t="shared" si="4"/>
        <v>-3.3360040736580155E-4</v>
      </c>
      <c r="D72" s="3">
        <f t="shared" si="5"/>
        <v>-2.2905509868309807E-2</v>
      </c>
      <c r="E72" s="3">
        <f>G72-K72</f>
        <v>-1.6231563900000027E-2</v>
      </c>
      <c r="F72" s="3">
        <f t="shared" si="6"/>
        <v>-1.7571584000000025E-2</v>
      </c>
      <c r="G72" s="3">
        <v>-8.7921829000000007E-3</v>
      </c>
      <c r="H72" s="3">
        <v>-1.0132202999999999E-2</v>
      </c>
      <c r="I72" s="3">
        <v>7.1057805926342255E-3</v>
      </c>
      <c r="J72" s="3">
        <v>-1.5466128868309781E-2</v>
      </c>
      <c r="K72" s="3">
        <v>7.439381000000027E-3</v>
      </c>
    </row>
    <row r="73" spans="1:11" x14ac:dyDescent="0.2">
      <c r="A73" s="7">
        <f t="shared" si="3"/>
        <v>1979</v>
      </c>
      <c r="B73" s="5">
        <v>12</v>
      </c>
      <c r="C73" s="3">
        <f t="shared" si="4"/>
        <v>7.7209994485034489E-2</v>
      </c>
      <c r="D73" s="3">
        <f t="shared" si="5"/>
        <v>0.10405466975349661</v>
      </c>
      <c r="E73" s="3">
        <f>G73-K73</f>
        <v>0.21214054099999988</v>
      </c>
      <c r="F73" s="3">
        <f t="shared" si="6"/>
        <v>5.0328158999999886E-2</v>
      </c>
      <c r="G73" s="3">
        <v>0.21936286999999999</v>
      </c>
      <c r="H73" s="3">
        <v>5.7550487999999997E-2</v>
      </c>
      <c r="I73" s="3">
        <v>8.4432323485034599E-2</v>
      </c>
      <c r="J73" s="3">
        <v>0.11127699875349673</v>
      </c>
      <c r="K73" s="3">
        <v>7.2223290000001071E-3</v>
      </c>
    </row>
    <row r="74" spans="1:11" x14ac:dyDescent="0.2">
      <c r="A74" s="7">
        <f t="shared" si="3"/>
        <v>1980</v>
      </c>
      <c r="B74" s="5">
        <v>1</v>
      </c>
      <c r="C74" s="3">
        <f t="shared" si="4"/>
        <v>0.16800804486675686</v>
      </c>
      <c r="D74" s="3">
        <f t="shared" si="5"/>
        <v>0.15656406200779432</v>
      </c>
      <c r="E74" s="3">
        <f>G74-K74</f>
        <v>0.32591913699999997</v>
      </c>
      <c r="F74" s="3">
        <f t="shared" si="6"/>
        <v>0.13463783699999998</v>
      </c>
      <c r="G74" s="3">
        <v>0.33360406999999997</v>
      </c>
      <c r="H74" s="3">
        <v>0.14232276999999999</v>
      </c>
      <c r="I74" s="3">
        <v>0.17569297786675686</v>
      </c>
      <c r="J74" s="3">
        <v>0.16424899500779433</v>
      </c>
      <c r="K74" s="3">
        <v>7.6849329999999988E-3</v>
      </c>
    </row>
    <row r="75" spans="1:11" x14ac:dyDescent="0.2">
      <c r="A75" s="7">
        <f t="shared" si="3"/>
        <v>1980</v>
      </c>
      <c r="B75" s="5">
        <v>2</v>
      </c>
      <c r="C75" s="3">
        <f t="shared" si="4"/>
        <v>8.2477172461760062E-2</v>
      </c>
      <c r="D75" s="3">
        <f t="shared" si="5"/>
        <v>2.3827286262083799E-2</v>
      </c>
      <c r="E75" s="3">
        <f>G75-K75</f>
        <v>0.26621377799999996</v>
      </c>
      <c r="F75" s="3">
        <f t="shared" si="6"/>
        <v>1.2369108999999941E-2</v>
      </c>
      <c r="G75" s="3">
        <v>0.27339139000000001</v>
      </c>
      <c r="H75" s="3">
        <v>1.9546721E-2</v>
      </c>
      <c r="I75" s="3">
        <v>8.9654784461760118E-2</v>
      </c>
      <c r="J75" s="3">
        <v>3.1004898262083858E-2</v>
      </c>
      <c r="K75" s="3">
        <v>7.1776120000000597E-3</v>
      </c>
    </row>
    <row r="76" spans="1:11" x14ac:dyDescent="0.2">
      <c r="A76" s="7">
        <f t="shared" si="3"/>
        <v>1980</v>
      </c>
      <c r="B76" s="5">
        <v>3</v>
      </c>
      <c r="C76" s="3">
        <f t="shared" si="4"/>
        <v>-7.284137647985979E-2</v>
      </c>
      <c r="D76" s="3">
        <f t="shared" si="5"/>
        <v>-0.13508546207221572</v>
      </c>
      <c r="E76" s="3">
        <f>G76-K76</f>
        <v>-5.8236660999999974E-2</v>
      </c>
      <c r="F76" s="3">
        <f t="shared" si="6"/>
        <v>-0.10323726099999997</v>
      </c>
      <c r="G76" s="3">
        <v>-4.9677876000000003E-2</v>
      </c>
      <c r="H76" s="3">
        <v>-9.4678475999999998E-2</v>
      </c>
      <c r="I76" s="3">
        <v>-6.4282591479859819E-2</v>
      </c>
      <c r="J76" s="3">
        <v>-0.12652667707221577</v>
      </c>
      <c r="K76" s="3">
        <v>8.5587849999999698E-3</v>
      </c>
    </row>
    <row r="77" spans="1:11" x14ac:dyDescent="0.2">
      <c r="A77" s="7">
        <f t="shared" si="3"/>
        <v>1980</v>
      </c>
      <c r="B77" s="5">
        <v>4</v>
      </c>
      <c r="C77" s="3">
        <f t="shared" si="4"/>
        <v>3.5737648998933828E-2</v>
      </c>
      <c r="D77" s="3">
        <f t="shared" si="5"/>
        <v>3.4723992272790431E-2</v>
      </c>
      <c r="E77" s="3">
        <f>G77-K77</f>
        <v>0.17690783900000012</v>
      </c>
      <c r="F77" s="3">
        <f t="shared" si="6"/>
        <v>1.7347384000000108E-2</v>
      </c>
      <c r="G77" s="3">
        <v>0.18513761000000001</v>
      </c>
      <c r="H77" s="3">
        <v>2.5577155000000001E-2</v>
      </c>
      <c r="I77" s="3">
        <v>4.3967419998933721E-2</v>
      </c>
      <c r="J77" s="3">
        <v>4.2953763272790324E-2</v>
      </c>
      <c r="K77" s="3">
        <v>8.2297709999998928E-3</v>
      </c>
    </row>
    <row r="78" spans="1:11" x14ac:dyDescent="0.2">
      <c r="A78" s="7">
        <f t="shared" si="3"/>
        <v>1980</v>
      </c>
      <c r="B78" s="5">
        <v>5</v>
      </c>
      <c r="C78" s="3">
        <f t="shared" si="4"/>
        <v>7.7439837310642773E-2</v>
      </c>
      <c r="D78" s="3">
        <f t="shared" si="5"/>
        <v>0.11217562308566889</v>
      </c>
      <c r="E78" s="3">
        <f>G78-K78</f>
        <v>0.17192814999999992</v>
      </c>
      <c r="F78" s="3">
        <f t="shared" si="6"/>
        <v>9.5829159999999927E-2</v>
      </c>
      <c r="G78" s="3">
        <v>0.18086236999999999</v>
      </c>
      <c r="H78" s="3">
        <v>0.10476338</v>
      </c>
      <c r="I78" s="3">
        <v>8.6374057310642849E-2</v>
      </c>
      <c r="J78" s="3">
        <v>0.12110984308566897</v>
      </c>
      <c r="K78" s="3">
        <v>8.9342200000000725E-3</v>
      </c>
    </row>
    <row r="79" spans="1:11" x14ac:dyDescent="0.2">
      <c r="A79" s="7">
        <f t="shared" ref="A79:A142" si="7">IF(B79=1,A78+1,A78)</f>
        <v>1980</v>
      </c>
      <c r="B79" s="5">
        <v>6</v>
      </c>
      <c r="C79" s="3">
        <f t="shared" si="4"/>
        <v>0.10586256866300456</v>
      </c>
      <c r="D79" s="3">
        <f t="shared" si="5"/>
        <v>6.0264922084926932E-2</v>
      </c>
      <c r="E79" s="3">
        <f>G79-K79</f>
        <v>0.23436786900000006</v>
      </c>
      <c r="F79" s="3">
        <f t="shared" si="6"/>
        <v>3.8218156000000066E-2</v>
      </c>
      <c r="G79" s="3">
        <v>0.24272277</v>
      </c>
      <c r="H79" s="3">
        <v>4.6573057000000001E-2</v>
      </c>
      <c r="I79" s="3">
        <v>0.1142174696630045</v>
      </c>
      <c r="J79" s="3">
        <v>6.8619823084926868E-2</v>
      </c>
      <c r="K79" s="3">
        <v>8.3549009999999372E-3</v>
      </c>
    </row>
    <row r="80" spans="1:11" x14ac:dyDescent="0.2">
      <c r="A80" s="7">
        <f t="shared" si="7"/>
        <v>1980</v>
      </c>
      <c r="B80" s="5">
        <v>7</v>
      </c>
      <c r="C80" s="3">
        <f t="shared" si="4"/>
        <v>4.6698445843322674E-2</v>
      </c>
      <c r="D80" s="3">
        <f t="shared" si="5"/>
        <v>8.1367612011374411E-3</v>
      </c>
      <c r="E80" s="3">
        <f>G80-K80</f>
        <v>0.27185330400000002</v>
      </c>
      <c r="F80" s="3">
        <f t="shared" si="6"/>
        <v>2.0415584000000001E-2</v>
      </c>
      <c r="G80" s="3">
        <v>0.28070945000000003</v>
      </c>
      <c r="H80" s="3">
        <v>2.9271729999999999E-2</v>
      </c>
      <c r="I80" s="3">
        <v>5.5554591843322676E-2</v>
      </c>
      <c r="J80" s="3">
        <v>1.6992907201137442E-2</v>
      </c>
      <c r="K80" s="3">
        <v>8.8561460000000005E-3</v>
      </c>
    </row>
    <row r="81" spans="1:11" x14ac:dyDescent="0.2">
      <c r="A81" s="7">
        <f t="shared" si="7"/>
        <v>1980</v>
      </c>
      <c r="B81" s="5">
        <v>8</v>
      </c>
      <c r="C81" s="3">
        <f t="shared" si="4"/>
        <v>6.0285064304963394E-2</v>
      </c>
      <c r="D81" s="3">
        <f t="shared" si="5"/>
        <v>3.1314691132036228E-2</v>
      </c>
      <c r="E81" s="3">
        <f>G81-K81</f>
        <v>0.18190310800000001</v>
      </c>
      <c r="F81" s="3">
        <f t="shared" si="6"/>
        <v>2.8505802000000025E-2</v>
      </c>
      <c r="G81" s="3">
        <v>0.19007399999999999</v>
      </c>
      <c r="H81" s="3">
        <v>3.6676694000000003E-2</v>
      </c>
      <c r="I81" s="3">
        <v>6.8455956304963372E-2</v>
      </c>
      <c r="J81" s="3">
        <v>3.9485583132036206E-2</v>
      </c>
      <c r="K81" s="3">
        <v>8.1708919999999765E-3</v>
      </c>
    </row>
    <row r="82" spans="1:11" x14ac:dyDescent="0.2">
      <c r="A82" s="7">
        <f t="shared" si="7"/>
        <v>1980</v>
      </c>
      <c r="B82" s="5">
        <v>9</v>
      </c>
      <c r="C82" s="3">
        <f t="shared" si="4"/>
        <v>8.1519405106221479E-2</v>
      </c>
      <c r="D82" s="3">
        <f t="shared" si="5"/>
        <v>5.3895502546750809E-2</v>
      </c>
      <c r="E82" s="3">
        <f>G82-K82</f>
        <v>0.15588345600000003</v>
      </c>
      <c r="F82" s="3">
        <f t="shared" si="6"/>
        <v>3.7309099000000012E-2</v>
      </c>
      <c r="G82" s="3">
        <v>0.16453628000000001</v>
      </c>
      <c r="H82" s="3">
        <v>4.5961923000000002E-2</v>
      </c>
      <c r="I82" s="3">
        <v>9.0172229106221469E-2</v>
      </c>
      <c r="J82" s="3">
        <v>6.2548326546750799E-2</v>
      </c>
      <c r="K82" s="3">
        <v>8.6528239999999861E-3</v>
      </c>
    </row>
    <row r="83" spans="1:11" x14ac:dyDescent="0.2">
      <c r="A83" s="7">
        <f t="shared" si="7"/>
        <v>1980</v>
      </c>
      <c r="B83" s="5">
        <v>10</v>
      </c>
      <c r="C83" s="3">
        <f t="shared" si="4"/>
        <v>7.3302718497774505E-2</v>
      </c>
      <c r="D83" s="3">
        <f t="shared" si="5"/>
        <v>5.7127994937969405E-2</v>
      </c>
      <c r="E83" s="3">
        <f>G83-K83</f>
        <v>0.28588483100000001</v>
      </c>
      <c r="F83" s="3">
        <f t="shared" si="6"/>
        <v>4.0233813E-2</v>
      </c>
      <c r="G83" s="3">
        <v>0.29432063000000003</v>
      </c>
      <c r="H83" s="3">
        <v>4.8669612000000001E-2</v>
      </c>
      <c r="I83" s="3">
        <v>8.1738517497774499E-2</v>
      </c>
      <c r="J83" s="3">
        <v>6.5563793937969406E-2</v>
      </c>
      <c r="K83" s="3">
        <v>8.4357990000000008E-3</v>
      </c>
    </row>
    <row r="84" spans="1:11" x14ac:dyDescent="0.2">
      <c r="A84" s="7">
        <f t="shared" si="7"/>
        <v>1980</v>
      </c>
      <c r="B84" s="5">
        <v>11</v>
      </c>
      <c r="C84" s="3">
        <f t="shared" si="4"/>
        <v>4.356419570965616E-2</v>
      </c>
      <c r="D84" s="3">
        <f t="shared" si="5"/>
        <v>-8.5572498921498239E-3</v>
      </c>
      <c r="E84" s="3">
        <f>G84-K84</f>
        <v>9.5041136000000068E-2</v>
      </c>
      <c r="F84" s="3">
        <f t="shared" si="6"/>
        <v>3.5254872000000076E-2</v>
      </c>
      <c r="G84" s="3">
        <v>0.10440363</v>
      </c>
      <c r="H84" s="3">
        <v>4.4617365999999999E-2</v>
      </c>
      <c r="I84" s="3">
        <v>5.2926689709656083E-2</v>
      </c>
      <c r="J84" s="3">
        <v>8.0524410785010048E-4</v>
      </c>
      <c r="K84" s="3">
        <v>9.3624939999999244E-3</v>
      </c>
    </row>
    <row r="85" spans="1:11" x14ac:dyDescent="0.2">
      <c r="A85" s="7">
        <f t="shared" si="7"/>
        <v>1980</v>
      </c>
      <c r="B85" s="5">
        <v>12</v>
      </c>
      <c r="C85" s="3">
        <f t="shared" si="4"/>
        <v>-1.5331031645653663E-2</v>
      </c>
      <c r="D85" s="3">
        <f t="shared" si="5"/>
        <v>-3.4526823223431174E-2</v>
      </c>
      <c r="E85" s="3">
        <f>G85-K85</f>
        <v>-3.2401496000000078E-2</v>
      </c>
      <c r="F85" s="3">
        <f t="shared" si="6"/>
        <v>-1.4009911200000077E-2</v>
      </c>
      <c r="G85" s="3">
        <v>-2.3073587999999999E-2</v>
      </c>
      <c r="H85" s="3">
        <v>-4.6820031999999998E-3</v>
      </c>
      <c r="I85" s="3">
        <v>-6.0031236456535852E-3</v>
      </c>
      <c r="J85" s="3">
        <v>-2.5198915223431095E-2</v>
      </c>
      <c r="K85" s="3">
        <v>9.3279080000000774E-3</v>
      </c>
    </row>
    <row r="86" spans="1:11" x14ac:dyDescent="0.2">
      <c r="A86" s="7">
        <f t="shared" si="7"/>
        <v>1981</v>
      </c>
      <c r="B86" s="5">
        <v>1</v>
      </c>
      <c r="C86" s="3">
        <f t="shared" si="4"/>
        <v>-4.0267438740903896E-2</v>
      </c>
      <c r="D86" s="3">
        <f t="shared" si="5"/>
        <v>-8.421859185817894E-2</v>
      </c>
      <c r="E86" s="3">
        <f>G86-K86</f>
        <v>1.190638500000003E-2</v>
      </c>
      <c r="F86" s="3">
        <f t="shared" si="6"/>
        <v>-5.8375407999999969E-2</v>
      </c>
      <c r="G86" s="3">
        <v>2.2004196E-2</v>
      </c>
      <c r="H86" s="3">
        <v>-4.8277596999999998E-2</v>
      </c>
      <c r="I86" s="3">
        <v>-3.0169627740903926E-2</v>
      </c>
      <c r="J86" s="3">
        <v>-7.412078085817897E-2</v>
      </c>
      <c r="K86" s="3">
        <v>1.009781099999997E-2</v>
      </c>
    </row>
    <row r="87" spans="1:11" x14ac:dyDescent="0.2">
      <c r="A87" s="7">
        <f t="shared" si="7"/>
        <v>1981</v>
      </c>
      <c r="B87" s="5">
        <v>2</v>
      </c>
      <c r="C87" s="3">
        <f t="shared" si="4"/>
        <v>2.6070303477366587E-3</v>
      </c>
      <c r="D87" s="3">
        <f t="shared" si="5"/>
        <v>-1.571468300998138E-2</v>
      </c>
      <c r="E87" s="3">
        <f>G87-K87</f>
        <v>0.15342340299999999</v>
      </c>
      <c r="F87" s="3">
        <f t="shared" si="6"/>
        <v>-8.3164980000000922E-4</v>
      </c>
      <c r="G87" s="3">
        <v>0.16312156</v>
      </c>
      <c r="H87" s="3">
        <v>8.8665072000000001E-3</v>
      </c>
      <c r="I87" s="3">
        <v>1.2305187347736668E-2</v>
      </c>
      <c r="J87" s="3">
        <v>-6.0165260099813711E-3</v>
      </c>
      <c r="K87" s="3">
        <v>9.6981570000000093E-3</v>
      </c>
    </row>
    <row r="88" spans="1:11" x14ac:dyDescent="0.2">
      <c r="A88" s="7">
        <f t="shared" si="7"/>
        <v>1981</v>
      </c>
      <c r="B88" s="5">
        <v>3</v>
      </c>
      <c r="C88" s="3">
        <f t="shared" si="4"/>
        <v>4.3067256189570607E-2</v>
      </c>
      <c r="D88" s="3">
        <f t="shared" si="5"/>
        <v>7.6123163522491905E-2</v>
      </c>
      <c r="E88" s="3">
        <f>G88-K88</f>
        <v>3.3085762000000074E-2</v>
      </c>
      <c r="F88" s="3">
        <f t="shared" si="6"/>
        <v>6.9420175000000084E-2</v>
      </c>
      <c r="G88" s="3">
        <v>4.3414601999999997E-2</v>
      </c>
      <c r="H88" s="3">
        <v>7.9749015000000006E-2</v>
      </c>
      <c r="I88" s="3">
        <v>5.339609618957053E-2</v>
      </c>
      <c r="J88" s="3">
        <v>8.6452003522491827E-2</v>
      </c>
      <c r="K88" s="3">
        <v>1.0328839999999924E-2</v>
      </c>
    </row>
    <row r="89" spans="1:11" x14ac:dyDescent="0.2">
      <c r="A89" s="7">
        <f t="shared" si="7"/>
        <v>1981</v>
      </c>
      <c r="B89" s="5">
        <v>4</v>
      </c>
      <c r="C89" s="3">
        <f t="shared" si="4"/>
        <v>-1.1733204791730539E-3</v>
      </c>
      <c r="D89" s="3">
        <f t="shared" si="5"/>
        <v>-1.0977202109722847E-2</v>
      </c>
      <c r="E89" s="3">
        <f>G89-K89</f>
        <v>7.2095212000000006E-2</v>
      </c>
      <c r="F89" s="3">
        <f t="shared" si="6"/>
        <v>-1.6233387599999996E-2</v>
      </c>
      <c r="G89" s="3">
        <v>8.2586829E-2</v>
      </c>
      <c r="H89" s="3">
        <v>-5.7417706000000004E-3</v>
      </c>
      <c r="I89" s="3">
        <v>9.3182965208269408E-3</v>
      </c>
      <c r="J89" s="3">
        <v>-4.8558510972285251E-4</v>
      </c>
      <c r="K89" s="3">
        <v>1.0491616999999995E-2</v>
      </c>
    </row>
    <row r="90" spans="1:11" x14ac:dyDescent="0.2">
      <c r="A90" s="7">
        <f t="shared" si="7"/>
        <v>1981</v>
      </c>
      <c r="B90" s="5">
        <v>5</v>
      </c>
      <c r="C90" s="3">
        <f t="shared" si="4"/>
        <v>-3.7297183579054535E-3</v>
      </c>
      <c r="D90" s="3">
        <f t="shared" si="5"/>
        <v>2.7950580794760208E-3</v>
      </c>
      <c r="E90" s="3">
        <f>G90-K90</f>
        <v>1.2161539999999051E-3</v>
      </c>
      <c r="F90" s="3">
        <f t="shared" si="6"/>
        <v>7.5797769999999039E-3</v>
      </c>
      <c r="G90" s="3">
        <v>1.1928772000000001E-2</v>
      </c>
      <c r="H90" s="3">
        <v>1.8292394999999999E-2</v>
      </c>
      <c r="I90" s="3">
        <v>6.9828996420946421E-3</v>
      </c>
      <c r="J90" s="3">
        <v>1.3507676079476116E-2</v>
      </c>
      <c r="K90" s="3">
        <v>1.0712618000000096E-2</v>
      </c>
    </row>
    <row r="91" spans="1:11" x14ac:dyDescent="0.2">
      <c r="A91" s="7">
        <f t="shared" si="7"/>
        <v>1981</v>
      </c>
      <c r="B91" s="5">
        <v>6</v>
      </c>
      <c r="C91" s="3">
        <f t="shared" si="4"/>
        <v>-1.2172026291677455E-2</v>
      </c>
      <c r="D91" s="3">
        <f t="shared" si="5"/>
        <v>-2.557186929868193E-2</v>
      </c>
      <c r="E91" s="3">
        <f>G91-K91</f>
        <v>3.3329283999999931E-2</v>
      </c>
      <c r="F91" s="3">
        <f t="shared" si="6"/>
        <v>-2.8428089000000073E-2</v>
      </c>
      <c r="G91" s="3">
        <v>4.3482759000000003E-2</v>
      </c>
      <c r="H91" s="3">
        <v>-1.8274614000000002E-2</v>
      </c>
      <c r="I91" s="3">
        <v>-2.018551291677384E-3</v>
      </c>
      <c r="J91" s="3">
        <v>-1.5418394298681859E-2</v>
      </c>
      <c r="K91" s="3">
        <v>1.0153475000000071E-2</v>
      </c>
    </row>
    <row r="92" spans="1:11" x14ac:dyDescent="0.2">
      <c r="A92" s="7">
        <f t="shared" si="7"/>
        <v>1981</v>
      </c>
      <c r="B92" s="5">
        <v>7</v>
      </c>
      <c r="C92" s="3">
        <f t="shared" si="4"/>
        <v>-6.241600344139938E-2</v>
      </c>
      <c r="D92" s="3">
        <f t="shared" si="5"/>
        <v>-9.8002905215786668E-2</v>
      </c>
      <c r="E92" s="3">
        <f>G92-K92</f>
        <v>2.8009411000000095E-2</v>
      </c>
      <c r="F92" s="3">
        <f t="shared" si="6"/>
        <v>-9.8503770999999921E-2</v>
      </c>
      <c r="G92" s="3">
        <v>3.9310056000000003E-2</v>
      </c>
      <c r="H92" s="3">
        <v>-8.7203126000000006E-2</v>
      </c>
      <c r="I92" s="3">
        <v>-5.1115358441399472E-2</v>
      </c>
      <c r="J92" s="3">
        <v>-8.6702260215786753E-2</v>
      </c>
      <c r="K92" s="3">
        <v>1.130064499999991E-2</v>
      </c>
    </row>
    <row r="93" spans="1:11" x14ac:dyDescent="0.2">
      <c r="A93" s="7">
        <f t="shared" si="7"/>
        <v>1981</v>
      </c>
      <c r="B93" s="5">
        <v>8</v>
      </c>
      <c r="C93" s="3">
        <f t="shared" si="4"/>
        <v>-2.9239332070615819E-2</v>
      </c>
      <c r="D93" s="3">
        <f t="shared" si="5"/>
        <v>-1.933187795065585E-2</v>
      </c>
      <c r="E93" s="3">
        <f>G93-K93</f>
        <v>-7.6514360999999087E-3</v>
      </c>
      <c r="F93" s="3">
        <f t="shared" si="6"/>
        <v>-2.0398103899999909E-2</v>
      </c>
      <c r="G93" s="3">
        <v>3.0768609000000001E-3</v>
      </c>
      <c r="H93" s="3">
        <v>-9.6698068999999994E-3</v>
      </c>
      <c r="I93" s="3">
        <v>-1.8511035070615911E-2</v>
      </c>
      <c r="J93" s="3">
        <v>-8.6035809506559424E-3</v>
      </c>
      <c r="K93" s="3">
        <v>1.0728296999999909E-2</v>
      </c>
    </row>
    <row r="94" spans="1:11" x14ac:dyDescent="0.2">
      <c r="A94" s="7">
        <f t="shared" si="7"/>
        <v>1981</v>
      </c>
      <c r="B94" s="5">
        <v>9</v>
      </c>
      <c r="C94" s="3">
        <f t="shared" si="4"/>
        <v>-8.6384420992950614E-2</v>
      </c>
      <c r="D94" s="3">
        <f t="shared" si="5"/>
        <v>-9.2527911691159356E-2</v>
      </c>
      <c r="E94" s="3">
        <f>G94-K94</f>
        <v>-5.6082404999999939E-2</v>
      </c>
      <c r="F94" s="3">
        <f t="shared" si="6"/>
        <v>-7.6721740999999927E-2</v>
      </c>
      <c r="G94" s="3">
        <v>-4.5178516000000002E-2</v>
      </c>
      <c r="H94" s="3">
        <v>-6.5817851999999996E-2</v>
      </c>
      <c r="I94" s="3">
        <v>-7.5480531992950683E-2</v>
      </c>
      <c r="J94" s="3">
        <v>-8.1624022691159426E-2</v>
      </c>
      <c r="K94" s="3">
        <v>1.0903888999999936E-2</v>
      </c>
    </row>
    <row r="95" spans="1:11" x14ac:dyDescent="0.2">
      <c r="A95" s="7">
        <f t="shared" si="7"/>
        <v>1981</v>
      </c>
      <c r="B95" s="5">
        <v>10</v>
      </c>
      <c r="C95" s="3">
        <f t="shared" si="4"/>
        <v>-4.7085787112560451E-2</v>
      </c>
      <c r="D95" s="3">
        <f t="shared" si="5"/>
        <v>-4.9187823700807487E-2</v>
      </c>
      <c r="E95" s="3">
        <f>G95-K95</f>
        <v>-6.4844657999999136E-3</v>
      </c>
      <c r="F95" s="3">
        <f t="shared" si="6"/>
        <v>-3.7503019999999915E-2</v>
      </c>
      <c r="G95" s="3">
        <v>3.5680322000000001E-3</v>
      </c>
      <c r="H95" s="3">
        <v>-2.7450522000000002E-2</v>
      </c>
      <c r="I95" s="3">
        <v>-3.7033289112560541E-2</v>
      </c>
      <c r="J95" s="3">
        <v>-3.9135325700807577E-2</v>
      </c>
      <c r="K95" s="3">
        <v>1.0052497999999913E-2</v>
      </c>
    </row>
    <row r="96" spans="1:11" x14ac:dyDescent="0.2">
      <c r="A96" s="7">
        <f t="shared" si="7"/>
        <v>1981</v>
      </c>
      <c r="B96" s="5">
        <v>11</v>
      </c>
      <c r="C96" s="3">
        <f t="shared" si="4"/>
        <v>3.272966260607086E-2</v>
      </c>
      <c r="D96" s="3">
        <f t="shared" si="5"/>
        <v>7.0152535728887411E-2</v>
      </c>
      <c r="E96" s="3">
        <f>G96-K96</f>
        <v>-1.1367164889999979E-2</v>
      </c>
      <c r="F96" s="3">
        <f t="shared" si="6"/>
        <v>7.5136335000000026E-2</v>
      </c>
      <c r="G96" s="3">
        <v>-9.2306788999999998E-4</v>
      </c>
      <c r="H96" s="3">
        <v>8.5580431999999998E-2</v>
      </c>
      <c r="I96" s="3">
        <v>4.3173759606070838E-2</v>
      </c>
      <c r="J96" s="3">
        <v>8.0596632728887396E-2</v>
      </c>
      <c r="K96" s="3">
        <v>1.0444096999999979E-2</v>
      </c>
    </row>
    <row r="97" spans="1:11" x14ac:dyDescent="0.2">
      <c r="A97" s="7">
        <f t="shared" si="7"/>
        <v>1981</v>
      </c>
      <c r="B97" s="5">
        <v>12</v>
      </c>
      <c r="C97" s="3">
        <f t="shared" si="4"/>
        <v>3.9317452116478087E-2</v>
      </c>
      <c r="D97" s="3">
        <f t="shared" si="5"/>
        <v>-1.9480593696288209E-3</v>
      </c>
      <c r="E97" s="3">
        <f>G97-K97</f>
        <v>1.4933772999999947E-2</v>
      </c>
      <c r="F97" s="3">
        <f t="shared" si="6"/>
        <v>-1.5182609000000506E-3</v>
      </c>
      <c r="G97" s="3">
        <v>2.5058438999999998E-2</v>
      </c>
      <c r="H97" s="3">
        <v>8.6064051000000006E-3</v>
      </c>
      <c r="I97" s="3">
        <v>4.944211811647814E-2</v>
      </c>
      <c r="J97" s="3">
        <v>8.1766066303712304E-3</v>
      </c>
      <c r="K97" s="3">
        <v>1.0124666000000051E-2</v>
      </c>
    </row>
    <row r="98" spans="1:11" x14ac:dyDescent="0.2">
      <c r="A98" s="7">
        <f t="shared" si="7"/>
        <v>1982</v>
      </c>
      <c r="B98" s="5">
        <v>1</v>
      </c>
      <c r="C98" s="3">
        <f t="shared" si="4"/>
        <v>-6.3216725312267269E-2</v>
      </c>
      <c r="D98" s="3">
        <f t="shared" si="5"/>
        <v>-8.5332666093946713E-2</v>
      </c>
      <c r="E98" s="3">
        <f>G98-K98</f>
        <v>-5.5078862871316839E-3</v>
      </c>
      <c r="F98" s="3">
        <f t="shared" si="6"/>
        <v>-8.3245722387131682E-2</v>
      </c>
      <c r="G98" s="3">
        <v>5.9980340999999998E-3</v>
      </c>
      <c r="H98" s="3">
        <v>-7.1739802000000005E-2</v>
      </c>
      <c r="I98" s="3">
        <v>-5.1710804925135578E-2</v>
      </c>
      <c r="J98" s="3">
        <v>-7.3826745706815022E-2</v>
      </c>
      <c r="K98" s="3">
        <v>1.1505920387131684E-2</v>
      </c>
    </row>
    <row r="99" spans="1:11" x14ac:dyDescent="0.2">
      <c r="A99" s="7">
        <f t="shared" si="7"/>
        <v>1982</v>
      </c>
      <c r="B99" s="5">
        <v>2</v>
      </c>
      <c r="C99" s="3">
        <f t="shared" si="4"/>
        <v>-0.11248856409758259</v>
      </c>
      <c r="D99" s="3">
        <f t="shared" si="5"/>
        <v>-0.11227697025315367</v>
      </c>
      <c r="E99" s="3">
        <f>G99-K99</f>
        <v>-0.13341000950702719</v>
      </c>
      <c r="F99" s="3">
        <f t="shared" si="6"/>
        <v>-0.12599568950702719</v>
      </c>
      <c r="G99" s="3">
        <v>-0.12110571000000001</v>
      </c>
      <c r="H99" s="3">
        <v>-0.11369139</v>
      </c>
      <c r="I99" s="3">
        <v>-0.10018426459055541</v>
      </c>
      <c r="J99" s="3">
        <v>-9.997267074612648E-2</v>
      </c>
      <c r="K99" s="3">
        <v>1.2304299507027187E-2</v>
      </c>
    </row>
    <row r="100" spans="1:11" x14ac:dyDescent="0.2">
      <c r="A100" s="7">
        <f t="shared" si="7"/>
        <v>1982</v>
      </c>
      <c r="B100" s="5">
        <v>3</v>
      </c>
      <c r="C100" s="3">
        <f t="shared" si="4"/>
        <v>-5.8855516225749832E-2</v>
      </c>
      <c r="D100" s="3">
        <f t="shared" si="5"/>
        <v>-6.2061533031280397E-2</v>
      </c>
      <c r="E100" s="3">
        <f>G100-K100</f>
        <v>-3.7302642342079667E-2</v>
      </c>
      <c r="F100" s="3">
        <f t="shared" si="6"/>
        <v>-5.1373615342079668E-2</v>
      </c>
      <c r="G100" s="3">
        <v>-2.2460701999999999E-2</v>
      </c>
      <c r="H100" s="3">
        <v>-3.6531675E-2</v>
      </c>
      <c r="I100" s="3">
        <v>-4.4013575883670164E-2</v>
      </c>
      <c r="J100" s="3">
        <v>-4.7219592689200729E-2</v>
      </c>
      <c r="K100" s="3">
        <v>1.484194034207967E-2</v>
      </c>
    </row>
    <row r="101" spans="1:11" x14ac:dyDescent="0.2">
      <c r="A101" s="7">
        <f t="shared" si="7"/>
        <v>1982</v>
      </c>
      <c r="B101" s="5">
        <v>4</v>
      </c>
      <c r="C101" s="3">
        <f t="shared" si="4"/>
        <v>3.0531849036207138E-2</v>
      </c>
      <c r="D101" s="3">
        <f t="shared" si="5"/>
        <v>7.8180046373278175E-2</v>
      </c>
      <c r="E101" s="3">
        <f>G101-K101</f>
        <v>-6.9792843152754955E-3</v>
      </c>
      <c r="F101" s="3">
        <f t="shared" si="6"/>
        <v>6.7856392284724495E-2</v>
      </c>
      <c r="G101" s="3">
        <v>7.3839943999999998E-3</v>
      </c>
      <c r="H101" s="3">
        <v>8.2219670999999994E-2</v>
      </c>
      <c r="I101" s="3">
        <v>4.4895127751482633E-2</v>
      </c>
      <c r="J101" s="3">
        <v>9.2543325088553674E-2</v>
      </c>
      <c r="K101" s="3">
        <v>1.4363278715275495E-2</v>
      </c>
    </row>
    <row r="102" spans="1:11" x14ac:dyDescent="0.2">
      <c r="A102" s="7">
        <f t="shared" si="7"/>
        <v>1982</v>
      </c>
      <c r="B102" s="5">
        <v>5</v>
      </c>
      <c r="C102" s="3">
        <f t="shared" si="4"/>
        <v>-8.1504204221425711E-3</v>
      </c>
      <c r="D102" s="3">
        <f t="shared" si="5"/>
        <v>-1.0191658072752166E-2</v>
      </c>
      <c r="E102" s="3">
        <f>G102-K102</f>
        <v>7.2166224052902638E-3</v>
      </c>
      <c r="F102" s="3">
        <f t="shared" si="6"/>
        <v>7.4869734052902624E-3</v>
      </c>
      <c r="G102" s="3">
        <v>1.9192329000000001E-2</v>
      </c>
      <c r="H102" s="3">
        <v>1.946268E-2</v>
      </c>
      <c r="I102" s="3">
        <v>3.8252861725671661E-3</v>
      </c>
      <c r="J102" s="3">
        <v>1.7840485219575708E-3</v>
      </c>
      <c r="K102" s="3">
        <v>1.1975706594709737E-2</v>
      </c>
    </row>
    <row r="103" spans="1:11" x14ac:dyDescent="0.2">
      <c r="A103" s="7">
        <f t="shared" si="7"/>
        <v>1982</v>
      </c>
      <c r="B103" s="5">
        <v>6</v>
      </c>
      <c r="C103" s="3">
        <f t="shared" si="4"/>
        <v>-8.3013040089508841E-2</v>
      </c>
      <c r="D103" s="3">
        <f t="shared" si="5"/>
        <v>-6.942649190317797E-2</v>
      </c>
      <c r="E103" s="3">
        <f>G103-K103</f>
        <v>-0.1811682374477088</v>
      </c>
      <c r="F103" s="3">
        <f t="shared" si="6"/>
        <v>-6.8056238447708778E-2</v>
      </c>
      <c r="G103" s="3">
        <v>-0.16947116000000001</v>
      </c>
      <c r="H103" s="3">
        <v>-5.6359160999999998E-2</v>
      </c>
      <c r="I103" s="3">
        <v>-7.1315962641800068E-2</v>
      </c>
      <c r="J103" s="3">
        <v>-5.7729414455469197E-2</v>
      </c>
      <c r="K103" s="3">
        <v>1.1697077447708775E-2</v>
      </c>
    </row>
    <row r="104" spans="1:11" x14ac:dyDescent="0.2">
      <c r="A104" s="7">
        <f t="shared" si="7"/>
        <v>1982</v>
      </c>
      <c r="B104" s="5">
        <v>7</v>
      </c>
      <c r="C104" s="3">
        <f t="shared" si="4"/>
        <v>1.3991846554956475E-2</v>
      </c>
      <c r="D104" s="3">
        <f t="shared" si="5"/>
        <v>-2.0375642278638275E-2</v>
      </c>
      <c r="E104" s="3">
        <f>G104-K104</f>
        <v>0.17295514133363396</v>
      </c>
      <c r="F104" s="3">
        <f t="shared" si="6"/>
        <v>-2.1921560666366025E-2</v>
      </c>
      <c r="G104" s="3">
        <v>0.18472654999999999</v>
      </c>
      <c r="H104" s="3">
        <v>-1.0150152000000001E-2</v>
      </c>
      <c r="I104" s="3">
        <v>2.5763255221322501E-2</v>
      </c>
      <c r="J104" s="3">
        <v>-8.6042336122722496E-3</v>
      </c>
      <c r="K104" s="3">
        <v>1.1771408666366025E-2</v>
      </c>
    </row>
    <row r="105" spans="1:11" x14ac:dyDescent="0.2">
      <c r="A105" s="7">
        <f t="shared" si="7"/>
        <v>1982</v>
      </c>
      <c r="B105" s="5">
        <v>8</v>
      </c>
      <c r="C105" s="3">
        <f t="shared" si="4"/>
        <v>9.5914263144347089E-2</v>
      </c>
      <c r="D105" s="3">
        <f t="shared" si="5"/>
        <v>3.0146890505163889E-2</v>
      </c>
      <c r="E105" s="3">
        <f>G105-K105</f>
        <v>0.26528365013503091</v>
      </c>
      <c r="F105" s="3">
        <f t="shared" si="6"/>
        <v>2.4843492135030929E-2</v>
      </c>
      <c r="G105" s="3">
        <v>0.27624084999999998</v>
      </c>
      <c r="H105" s="3">
        <v>3.5800692000000002E-2</v>
      </c>
      <c r="I105" s="3">
        <v>0.10687146300931616</v>
      </c>
      <c r="J105" s="3">
        <v>4.1104090370132962E-2</v>
      </c>
      <c r="K105" s="3">
        <v>1.0957199864969073E-2</v>
      </c>
    </row>
    <row r="106" spans="1:11" x14ac:dyDescent="0.2">
      <c r="A106" s="7">
        <f t="shared" si="7"/>
        <v>1982</v>
      </c>
      <c r="B106" s="5">
        <v>9</v>
      </c>
      <c r="C106" s="3">
        <f t="shared" si="4"/>
        <v>5.1077442105373058E-2</v>
      </c>
      <c r="D106" s="3">
        <f t="shared" si="5"/>
        <v>3.70130138715246E-2</v>
      </c>
      <c r="E106" s="3">
        <f>G106-K106</f>
        <v>1.1044563999386832E-2</v>
      </c>
      <c r="F106" s="3">
        <f t="shared" si="6"/>
        <v>4.9491894999386832E-2</v>
      </c>
      <c r="G106" s="3">
        <v>2.0523579E-2</v>
      </c>
      <c r="H106" s="3">
        <v>5.8970910000000001E-2</v>
      </c>
      <c r="I106" s="3">
        <v>6.0556457105986228E-2</v>
      </c>
      <c r="J106" s="3">
        <v>4.6492028872137769E-2</v>
      </c>
      <c r="K106" s="3">
        <v>9.4790150006131679E-3</v>
      </c>
    </row>
    <row r="107" spans="1:11" x14ac:dyDescent="0.2">
      <c r="A107" s="7">
        <f t="shared" si="7"/>
        <v>1982</v>
      </c>
      <c r="B107" s="5">
        <v>10</v>
      </c>
      <c r="C107" s="3">
        <f t="shared" si="4"/>
        <v>-3.3857830501361954E-3</v>
      </c>
      <c r="D107" s="3">
        <f t="shared" si="5"/>
        <v>8.1571130717767761E-4</v>
      </c>
      <c r="E107" s="3">
        <f>G107-K107</f>
        <v>0.10906684764883919</v>
      </c>
      <c r="F107" s="3">
        <f t="shared" si="6"/>
        <v>3.5473426488391805E-3</v>
      </c>
      <c r="G107" s="3">
        <v>0.11951539</v>
      </c>
      <c r="H107" s="3">
        <v>1.3995885E-2</v>
      </c>
      <c r="I107" s="3">
        <v>7.0627593010246237E-3</v>
      </c>
      <c r="J107" s="3">
        <v>1.1264253658338497E-2</v>
      </c>
      <c r="K107" s="3">
        <v>1.0448542351160819E-2</v>
      </c>
    </row>
    <row r="108" spans="1:11" x14ac:dyDescent="0.2">
      <c r="A108" s="7">
        <f t="shared" si="7"/>
        <v>1982</v>
      </c>
      <c r="B108" s="5">
        <v>11</v>
      </c>
      <c r="C108" s="3">
        <f t="shared" si="4"/>
        <v>-3.1011492731400709E-2</v>
      </c>
      <c r="D108" s="3">
        <f t="shared" si="5"/>
        <v>-3.9729471139871145E-2</v>
      </c>
      <c r="E108" s="3">
        <f>G108-K108</f>
        <v>2.3105323812098098E-2</v>
      </c>
      <c r="F108" s="3">
        <f t="shared" si="6"/>
        <v>-4.563589818790191E-2</v>
      </c>
      <c r="G108" s="3">
        <v>3.3633925000000002E-2</v>
      </c>
      <c r="H108" s="3">
        <v>-3.5107297000000003E-2</v>
      </c>
      <c r="I108" s="3">
        <v>-2.0482891543498805E-2</v>
      </c>
      <c r="J108" s="3">
        <v>-2.9200869951969244E-2</v>
      </c>
      <c r="K108" s="3">
        <v>1.0528601187901904E-2</v>
      </c>
    </row>
    <row r="109" spans="1:11" x14ac:dyDescent="0.2">
      <c r="A109" s="7">
        <f t="shared" si="7"/>
        <v>1982</v>
      </c>
      <c r="B109" s="5">
        <v>12</v>
      </c>
      <c r="C109" s="3">
        <f t="shared" si="4"/>
        <v>5.6692246707094676E-2</v>
      </c>
      <c r="D109" s="3">
        <f t="shared" si="5"/>
        <v>6.873562047066531E-3</v>
      </c>
      <c r="E109" s="3">
        <f>G109-K109</f>
        <v>0.19223474832027182</v>
      </c>
      <c r="F109" s="3">
        <f t="shared" si="6"/>
        <v>9.2751353202718337E-3</v>
      </c>
      <c r="G109" s="3">
        <v>0.19951668</v>
      </c>
      <c r="H109" s="3">
        <v>1.6557067000000002E-2</v>
      </c>
      <c r="I109" s="3">
        <v>6.3974178386822844E-2</v>
      </c>
      <c r="J109" s="3">
        <v>1.4155493726794699E-2</v>
      </c>
      <c r="K109" s="3">
        <v>7.281931679728168E-3</v>
      </c>
    </row>
    <row r="110" spans="1:11" x14ac:dyDescent="0.2">
      <c r="A110" s="7">
        <f t="shared" si="7"/>
        <v>1983</v>
      </c>
      <c r="B110" s="5">
        <v>1</v>
      </c>
      <c r="C110" s="3">
        <f t="shared" si="4"/>
        <v>0.19617987123375638</v>
      </c>
      <c r="D110" s="3">
        <f t="shared" si="5"/>
        <v>0.1036549351597327</v>
      </c>
      <c r="E110" s="3">
        <f>G110-K110</f>
        <v>0.58213981503644918</v>
      </c>
      <c r="F110" s="3">
        <f t="shared" si="6"/>
        <v>9.462183503644922E-2</v>
      </c>
      <c r="G110" s="3">
        <v>0.59117544</v>
      </c>
      <c r="H110" s="3">
        <v>0.10365746000000001</v>
      </c>
      <c r="I110" s="3">
        <v>0.20521549619730717</v>
      </c>
      <c r="J110" s="3">
        <v>0.11269056012328349</v>
      </c>
      <c r="K110" s="3">
        <v>9.0356249635507816E-3</v>
      </c>
    </row>
    <row r="111" spans="1:11" x14ac:dyDescent="0.2">
      <c r="A111" s="7">
        <f t="shared" si="7"/>
        <v>1983</v>
      </c>
      <c r="B111" s="5">
        <v>2</v>
      </c>
      <c r="C111" s="3">
        <f t="shared" si="4"/>
        <v>-7.0048367345129092E-2</v>
      </c>
      <c r="D111" s="3">
        <f t="shared" si="5"/>
        <v>-7.7916682449166608E-2</v>
      </c>
      <c r="E111" s="3">
        <f>G111-K111</f>
        <v>-2.8630524677282585E-2</v>
      </c>
      <c r="F111" s="3">
        <f t="shared" si="6"/>
        <v>-6.680126467728259E-2</v>
      </c>
      <c r="G111" s="3">
        <v>-1.7302619000000002E-2</v>
      </c>
      <c r="H111" s="3">
        <v>-5.5473359E-2</v>
      </c>
      <c r="I111" s="3">
        <v>-5.8720461667846502E-2</v>
      </c>
      <c r="J111" s="3">
        <v>-6.6588776771884017E-2</v>
      </c>
      <c r="K111" s="3">
        <v>1.1327905677282583E-2</v>
      </c>
    </row>
    <row r="112" spans="1:11" x14ac:dyDescent="0.2">
      <c r="A112" s="7">
        <f t="shared" si="7"/>
        <v>1983</v>
      </c>
      <c r="B112" s="5">
        <v>3</v>
      </c>
      <c r="C112" s="3">
        <f t="shared" si="4"/>
        <v>9.4444651217523903E-3</v>
      </c>
      <c r="D112" s="3">
        <f t="shared" si="5"/>
        <v>2.4301624811948246E-2</v>
      </c>
      <c r="E112" s="3">
        <f>G112-K112</f>
        <v>0.13938114857471032</v>
      </c>
      <c r="F112" s="3">
        <f t="shared" si="6"/>
        <v>2.4039860574710324E-2</v>
      </c>
      <c r="G112" s="3">
        <v>0.15077305999999999</v>
      </c>
      <c r="H112" s="3">
        <v>3.5431772E-2</v>
      </c>
      <c r="I112" s="3">
        <v>2.0836376547042068E-2</v>
      </c>
      <c r="J112" s="3">
        <v>3.5693536237237922E-2</v>
      </c>
      <c r="K112" s="3">
        <v>1.1391911425289678E-2</v>
      </c>
    </row>
    <row r="113" spans="1:11" x14ac:dyDescent="0.2">
      <c r="A113" s="7">
        <f t="shared" si="7"/>
        <v>1983</v>
      </c>
      <c r="B113" s="5">
        <v>4</v>
      </c>
      <c r="C113" s="3">
        <f t="shared" si="4"/>
        <v>0.11933148330202065</v>
      </c>
      <c r="D113" s="3">
        <f t="shared" si="5"/>
        <v>0.14188730190766491</v>
      </c>
      <c r="E113" s="3">
        <f>G113-K113</f>
        <v>0.14986187469054579</v>
      </c>
      <c r="F113" s="3">
        <f t="shared" si="6"/>
        <v>0.14742065469054577</v>
      </c>
      <c r="G113" s="3">
        <v>0.15873754000000001</v>
      </c>
      <c r="H113" s="3">
        <v>0.15629631999999999</v>
      </c>
      <c r="I113" s="3">
        <v>0.12820714861147486</v>
      </c>
      <c r="J113" s="3">
        <v>0.15076296721711913</v>
      </c>
      <c r="K113" s="3">
        <v>8.8756653094542101E-3</v>
      </c>
    </row>
    <row r="114" spans="1:11" x14ac:dyDescent="0.2">
      <c r="A114" s="7">
        <f t="shared" si="7"/>
        <v>1983</v>
      </c>
      <c r="B114" s="5">
        <v>5</v>
      </c>
      <c r="C114" s="3">
        <f t="shared" si="4"/>
        <v>5.4473973945626419E-2</v>
      </c>
      <c r="D114" s="3">
        <f t="shared" si="5"/>
        <v>4.1276549504863091E-2</v>
      </c>
      <c r="E114" s="3">
        <f>G114-K114</f>
        <v>9.6705406878542483E-2</v>
      </c>
      <c r="F114" s="3">
        <f t="shared" si="6"/>
        <v>3.8181004878542486E-2</v>
      </c>
      <c r="G114" s="3">
        <v>0.10506024</v>
      </c>
      <c r="H114" s="3">
        <v>4.6535838000000003E-2</v>
      </c>
      <c r="I114" s="3">
        <v>6.2828807067083936E-2</v>
      </c>
      <c r="J114" s="3">
        <v>4.9631382626320608E-2</v>
      </c>
      <c r="K114" s="3">
        <v>8.3548331214575149E-3</v>
      </c>
    </row>
    <row r="115" spans="1:11" x14ac:dyDescent="0.2">
      <c r="A115" s="7">
        <f t="shared" si="7"/>
        <v>1983</v>
      </c>
      <c r="B115" s="5">
        <v>6</v>
      </c>
      <c r="C115" s="3">
        <f t="shared" si="4"/>
        <v>-1.7139631939434789E-2</v>
      </c>
      <c r="D115" s="3">
        <f t="shared" si="5"/>
        <v>-3.1190952913224594E-2</v>
      </c>
      <c r="E115" s="3">
        <f>G115-K115</f>
        <v>5.7822475683787102E-2</v>
      </c>
      <c r="F115" s="3">
        <f t="shared" si="6"/>
        <v>-2.8574422316212905E-2</v>
      </c>
      <c r="G115" s="3">
        <v>6.6975590000000002E-2</v>
      </c>
      <c r="H115" s="3">
        <v>-1.9421308000000002E-2</v>
      </c>
      <c r="I115" s="3">
        <v>-7.9865176232218893E-3</v>
      </c>
      <c r="J115" s="3">
        <v>-2.2037838597011694E-2</v>
      </c>
      <c r="K115" s="3">
        <v>9.1531143162129017E-3</v>
      </c>
    </row>
    <row r="116" spans="1:11" x14ac:dyDescent="0.2">
      <c r="A116" s="7">
        <f t="shared" si="7"/>
        <v>1983</v>
      </c>
      <c r="B116" s="5">
        <v>7</v>
      </c>
      <c r="C116" s="3">
        <f t="shared" si="4"/>
        <v>9.8642008996025959E-2</v>
      </c>
      <c r="D116" s="3">
        <f t="shared" si="5"/>
        <v>0.10156037907007268</v>
      </c>
      <c r="E116" s="3">
        <f>G116-K116</f>
        <v>0.11412533234061964</v>
      </c>
      <c r="F116" s="3">
        <f t="shared" si="6"/>
        <v>9.2631862340619639E-2</v>
      </c>
      <c r="G116" s="3">
        <v>0.12280161000000001</v>
      </c>
      <c r="H116" s="3">
        <v>0.10130814</v>
      </c>
      <c r="I116" s="3">
        <v>0.10731828665540633</v>
      </c>
      <c r="J116" s="3">
        <v>0.11023665672945304</v>
      </c>
      <c r="K116" s="3">
        <v>8.6762776593803641E-3</v>
      </c>
    </row>
    <row r="117" spans="1:11" x14ac:dyDescent="0.2">
      <c r="A117" s="7">
        <f t="shared" si="7"/>
        <v>1983</v>
      </c>
      <c r="B117" s="5">
        <v>8</v>
      </c>
      <c r="C117" s="3">
        <f t="shared" si="4"/>
        <v>5.410384165704514E-2</v>
      </c>
      <c r="D117" s="3">
        <f t="shared" si="5"/>
        <v>3.7249783086777691E-2</v>
      </c>
      <c r="E117" s="3">
        <f>G117-K117</f>
        <v>0.13232022240565333</v>
      </c>
      <c r="F117" s="3">
        <f t="shared" si="6"/>
        <v>3.6285294405653354E-2</v>
      </c>
      <c r="G117" s="3">
        <v>0.14076338999999999</v>
      </c>
      <c r="H117" s="3">
        <v>4.4728461999999997E-2</v>
      </c>
      <c r="I117" s="3">
        <v>6.2547009251391783E-2</v>
      </c>
      <c r="J117" s="3">
        <v>4.5692950681124334E-2</v>
      </c>
      <c r="K117" s="3">
        <v>8.4431675943466445E-3</v>
      </c>
    </row>
    <row r="118" spans="1:11" x14ac:dyDescent="0.2">
      <c r="A118" s="7">
        <f t="shared" si="7"/>
        <v>1983</v>
      </c>
      <c r="B118" s="5">
        <v>9</v>
      </c>
      <c r="C118" s="3">
        <f t="shared" si="4"/>
        <v>5.0052248523533308E-2</v>
      </c>
      <c r="D118" s="3">
        <f t="shared" si="5"/>
        <v>1.8219193602073035E-2</v>
      </c>
      <c r="E118" s="3">
        <f>G118-K118</f>
        <v>0.16684816716067497</v>
      </c>
      <c r="F118" s="3">
        <f t="shared" si="6"/>
        <v>1.883863516067499E-2</v>
      </c>
      <c r="G118" s="3">
        <v>0.17464374999999999</v>
      </c>
      <c r="H118" s="3">
        <v>2.6634218000000001E-2</v>
      </c>
      <c r="I118" s="3">
        <v>5.7847831362858315E-2</v>
      </c>
      <c r="J118" s="3">
        <v>2.6014776441398046E-2</v>
      </c>
      <c r="K118" s="3">
        <v>7.7955828393250102E-3</v>
      </c>
    </row>
    <row r="119" spans="1:11" x14ac:dyDescent="0.2">
      <c r="A119" s="7">
        <f t="shared" si="7"/>
        <v>1983</v>
      </c>
      <c r="B119" s="5">
        <v>10</v>
      </c>
      <c r="C119" s="3">
        <f t="shared" si="4"/>
        <v>-3.9394772135374657E-2</v>
      </c>
      <c r="D119" s="3">
        <f t="shared" si="5"/>
        <v>-4.1289513296056547E-2</v>
      </c>
      <c r="E119" s="3">
        <f>G119-K119</f>
        <v>-7.5134433134577863E-2</v>
      </c>
      <c r="F119" s="3">
        <f t="shared" si="6"/>
        <v>-3.2895002134577855E-2</v>
      </c>
      <c r="G119" s="3">
        <v>-6.7340280000000002E-2</v>
      </c>
      <c r="H119" s="3">
        <v>-2.5100849000000001E-2</v>
      </c>
      <c r="I119" s="3">
        <v>-3.1600619000796804E-2</v>
      </c>
      <c r="J119" s="3">
        <v>-3.3495360161478693E-2</v>
      </c>
      <c r="K119" s="3">
        <v>7.7941531345778548E-3</v>
      </c>
    </row>
    <row r="120" spans="1:11" x14ac:dyDescent="0.2">
      <c r="A120" s="7">
        <f t="shared" si="7"/>
        <v>1983</v>
      </c>
      <c r="B120" s="5">
        <v>11</v>
      </c>
      <c r="C120" s="3">
        <f t="shared" si="4"/>
        <v>3.0839783538952385E-2</v>
      </c>
      <c r="D120" s="3">
        <f t="shared" si="5"/>
        <v>7.3987743330034161E-2</v>
      </c>
      <c r="E120" s="3">
        <f>G120-K120</f>
        <v>-1.5188613769829745E-2</v>
      </c>
      <c r="F120" s="3">
        <f t="shared" si="6"/>
        <v>6.9361095930170258E-2</v>
      </c>
      <c r="G120" s="3">
        <v>-7.5116076999999998E-3</v>
      </c>
      <c r="H120" s="3">
        <v>7.7038101999999997E-2</v>
      </c>
      <c r="I120" s="3">
        <v>3.8516789608782132E-2</v>
      </c>
      <c r="J120" s="3">
        <v>8.1664749399863901E-2</v>
      </c>
      <c r="K120" s="3">
        <v>7.6770060698297463E-3</v>
      </c>
    </row>
    <row r="121" spans="1:11" x14ac:dyDescent="0.2">
      <c r="A121" s="7">
        <f t="shared" si="7"/>
        <v>1983</v>
      </c>
      <c r="B121" s="5">
        <v>12</v>
      </c>
      <c r="C121" s="3">
        <f t="shared" si="4"/>
        <v>2.9154450852742229E-2</v>
      </c>
      <c r="D121" s="3">
        <f t="shared" si="5"/>
        <v>3.5182787382813073E-2</v>
      </c>
      <c r="E121" s="3">
        <f>G121-K121</f>
        <v>8.6393751373612607E-4</v>
      </c>
      <c r="F121" s="3">
        <f t="shared" si="6"/>
        <v>3.6689932913736123E-2</v>
      </c>
      <c r="G121" s="3">
        <v>7.5107845999999997E-3</v>
      </c>
      <c r="H121" s="3">
        <v>4.3336779999999998E-2</v>
      </c>
      <c r="I121" s="3">
        <v>3.5801297939006105E-2</v>
      </c>
      <c r="J121" s="3">
        <v>4.1829634469076948E-2</v>
      </c>
      <c r="K121" s="3">
        <v>6.6468470862638736E-3</v>
      </c>
    </row>
    <row r="122" spans="1:11" x14ac:dyDescent="0.2">
      <c r="A122" s="7">
        <f t="shared" si="7"/>
        <v>1984</v>
      </c>
      <c r="B122" s="5">
        <v>1</v>
      </c>
      <c r="C122" s="3">
        <f t="shared" si="4"/>
        <v>4.4659439880360946E-2</v>
      </c>
      <c r="D122" s="3">
        <f t="shared" si="5"/>
        <v>-1.1191718093988643E-2</v>
      </c>
      <c r="E122" s="3">
        <f>G122-K122</f>
        <v>9.6480353062650265E-2</v>
      </c>
      <c r="F122" s="3">
        <f t="shared" si="6"/>
        <v>-1.2546206437349735E-2</v>
      </c>
      <c r="G122" s="3">
        <v>0.10424433</v>
      </c>
      <c r="H122" s="3">
        <v>-4.7822295000000004E-3</v>
      </c>
      <c r="I122" s="3">
        <v>5.2423416817710677E-2</v>
      </c>
      <c r="J122" s="3">
        <v>-3.4277411566389082E-3</v>
      </c>
      <c r="K122" s="3">
        <v>7.7639769373497348E-3</v>
      </c>
    </row>
    <row r="123" spans="1:11" x14ac:dyDescent="0.2">
      <c r="A123" s="7">
        <f t="shared" si="7"/>
        <v>1984</v>
      </c>
      <c r="B123" s="5">
        <v>2</v>
      </c>
      <c r="C123" s="3">
        <f t="shared" si="4"/>
        <v>4.4796779598457216E-2</v>
      </c>
      <c r="D123" s="3">
        <f t="shared" si="5"/>
        <v>-3.0314555276100573E-2</v>
      </c>
      <c r="E123" s="3">
        <f>G123-K123</f>
        <v>8.5138181192585788E-2</v>
      </c>
      <c r="F123" s="3">
        <f t="shared" si="6"/>
        <v>-4.4094737807414214E-2</v>
      </c>
      <c r="G123" s="3">
        <v>9.3131967999999996E-2</v>
      </c>
      <c r="H123" s="3">
        <v>-3.6100950999999999E-2</v>
      </c>
      <c r="I123" s="3">
        <v>5.2790566405871431E-2</v>
      </c>
      <c r="J123" s="3">
        <v>-2.2320768468686358E-2</v>
      </c>
      <c r="K123" s="3">
        <v>7.9937868074142129E-3</v>
      </c>
    </row>
    <row r="124" spans="1:11" x14ac:dyDescent="0.2">
      <c r="A124" s="7">
        <f t="shared" si="7"/>
        <v>1984</v>
      </c>
      <c r="B124" s="5">
        <v>3</v>
      </c>
      <c r="C124" s="3">
        <f t="shared" si="4"/>
        <v>1.9627035557541507E-3</v>
      </c>
      <c r="D124" s="3">
        <f t="shared" si="5"/>
        <v>9.6321330326137079E-3</v>
      </c>
      <c r="E124" s="3">
        <f>G124-K124</f>
        <v>3.682359104101203E-2</v>
      </c>
      <c r="F124" s="3">
        <f t="shared" si="6"/>
        <v>-4.9110170589879648E-3</v>
      </c>
      <c r="G124" s="3">
        <v>4.7451912999999998E-2</v>
      </c>
      <c r="H124" s="3">
        <v>5.7173049000000002E-3</v>
      </c>
      <c r="I124" s="3">
        <v>1.2591025514742116E-2</v>
      </c>
      <c r="J124" s="3">
        <v>2.0260454991601673E-2</v>
      </c>
      <c r="K124" s="3">
        <v>1.0628321958987965E-2</v>
      </c>
    </row>
    <row r="125" spans="1:11" x14ac:dyDescent="0.2">
      <c r="A125" s="7">
        <f t="shared" si="7"/>
        <v>1984</v>
      </c>
      <c r="B125" s="5">
        <v>4</v>
      </c>
      <c r="C125" s="3">
        <f t="shared" si="4"/>
        <v>1.6013650074746234E-2</v>
      </c>
      <c r="D125" s="3">
        <f t="shared" si="5"/>
        <v>2.8613163345316082E-3</v>
      </c>
      <c r="E125" s="3">
        <f>G125-K125</f>
        <v>4.3575245141286786E-2</v>
      </c>
      <c r="F125" s="3">
        <f t="shared" si="6"/>
        <v>1.7917072141286794E-2</v>
      </c>
      <c r="G125" s="3">
        <v>5.2626241999999997E-2</v>
      </c>
      <c r="H125" s="3">
        <v>2.6968069000000001E-2</v>
      </c>
      <c r="I125" s="3">
        <v>2.5064646933459445E-2</v>
      </c>
      <c r="J125" s="3">
        <v>1.1912313193244817E-2</v>
      </c>
      <c r="K125" s="3">
        <v>9.0509968587132086E-3</v>
      </c>
    </row>
    <row r="126" spans="1:11" x14ac:dyDescent="0.2">
      <c r="A126" s="7">
        <f t="shared" si="7"/>
        <v>1984</v>
      </c>
      <c r="B126" s="5">
        <v>5</v>
      </c>
      <c r="C126" s="3">
        <f t="shared" si="4"/>
        <v>-8.1597158508442971E-2</v>
      </c>
      <c r="D126" s="3">
        <f t="shared" si="5"/>
        <v>-0.13441802240601022</v>
      </c>
      <c r="E126" s="3">
        <f>G126-K126</f>
        <v>2.2931024475206993E-2</v>
      </c>
      <c r="F126" s="3">
        <f t="shared" si="6"/>
        <v>-0.12394255052479301</v>
      </c>
      <c r="G126" s="3">
        <v>3.2557375E-2</v>
      </c>
      <c r="H126" s="3">
        <v>-0.11431620000000001</v>
      </c>
      <c r="I126" s="3">
        <v>-7.1970807983649965E-2</v>
      </c>
      <c r="J126" s="3">
        <v>-0.1247916718812172</v>
      </c>
      <c r="K126" s="3">
        <v>9.6263505247930082E-3</v>
      </c>
    </row>
    <row r="127" spans="1:11" x14ac:dyDescent="0.2">
      <c r="A127" s="7">
        <f t="shared" si="7"/>
        <v>1984</v>
      </c>
      <c r="B127" s="5">
        <v>6</v>
      </c>
      <c r="C127" s="3">
        <f t="shared" si="4"/>
        <v>-2.3644427596687431E-2</v>
      </c>
      <c r="D127" s="3">
        <f t="shared" si="5"/>
        <v>-1.2716631559458891E-3</v>
      </c>
      <c r="E127" s="3">
        <f>G127-K127</f>
        <v>-5.5928994898193023E-2</v>
      </c>
      <c r="F127" s="3">
        <f t="shared" si="6"/>
        <v>2.3683841018069737E-3</v>
      </c>
      <c r="G127" s="3">
        <v>-4.7280311999999998E-2</v>
      </c>
      <c r="H127" s="3">
        <v>1.1017067E-2</v>
      </c>
      <c r="I127" s="3">
        <v>-1.4995744698494406E-2</v>
      </c>
      <c r="J127" s="3">
        <v>7.3770197422471373E-3</v>
      </c>
      <c r="K127" s="3">
        <v>8.6486828981930264E-3</v>
      </c>
    </row>
    <row r="128" spans="1:11" x14ac:dyDescent="0.2">
      <c r="A128" s="7">
        <f t="shared" si="7"/>
        <v>1984</v>
      </c>
      <c r="B128" s="5">
        <v>7</v>
      </c>
      <c r="C128" s="3">
        <f t="shared" si="4"/>
        <v>3.1574008400960196E-2</v>
      </c>
      <c r="D128" s="3">
        <f t="shared" si="5"/>
        <v>2.1031575977640105E-2</v>
      </c>
      <c r="E128" s="3">
        <f>G128-K128</f>
        <v>8.5479582951430863E-2</v>
      </c>
      <c r="F128" s="3">
        <f t="shared" si="6"/>
        <v>4.7328175951430865E-2</v>
      </c>
      <c r="G128" s="3">
        <v>9.4265372E-2</v>
      </c>
      <c r="H128" s="3">
        <v>5.6113965000000002E-2</v>
      </c>
      <c r="I128" s="3">
        <v>4.0359797449529333E-2</v>
      </c>
      <c r="J128" s="3">
        <v>2.9817365026209242E-2</v>
      </c>
      <c r="K128" s="3">
        <v>8.7857890485691353E-3</v>
      </c>
    </row>
    <row r="129" spans="1:11" x14ac:dyDescent="0.2">
      <c r="A129" s="7">
        <f t="shared" si="7"/>
        <v>1984</v>
      </c>
      <c r="B129" s="5">
        <v>8</v>
      </c>
      <c r="C129" s="3">
        <f t="shared" si="4"/>
        <v>6.2732346629223584E-2</v>
      </c>
      <c r="D129" s="3">
        <f t="shared" si="5"/>
        <v>6.7918453278585283E-2</v>
      </c>
      <c r="E129" s="3">
        <f>G129-K129</f>
        <v>0.10049133688255718</v>
      </c>
      <c r="F129" s="3">
        <f t="shared" si="6"/>
        <v>6.3019184882557186E-2</v>
      </c>
      <c r="G129" s="3">
        <v>0.10803346</v>
      </c>
      <c r="H129" s="3">
        <v>7.0561308000000003E-2</v>
      </c>
      <c r="I129" s="3">
        <v>7.0274469746666401E-2</v>
      </c>
      <c r="J129" s="3">
        <v>7.5460576396028101E-2</v>
      </c>
      <c r="K129" s="3">
        <v>7.5421231174428206E-3</v>
      </c>
    </row>
    <row r="130" spans="1:11" x14ac:dyDescent="0.2">
      <c r="A130" s="7">
        <f t="shared" si="7"/>
        <v>1984</v>
      </c>
      <c r="B130" s="5">
        <v>9</v>
      </c>
      <c r="C130" s="3">
        <f t="shared" si="4"/>
        <v>5.0179150337813921E-4</v>
      </c>
      <c r="D130" s="3">
        <f t="shared" si="5"/>
        <v>3.6020947379090604E-3</v>
      </c>
      <c r="E130" s="3">
        <f>G130-K130</f>
        <v>-1.3468251663675601E-2</v>
      </c>
      <c r="F130" s="3">
        <f t="shared" si="6"/>
        <v>1.05473142363244E-2</v>
      </c>
      <c r="G130" s="3">
        <v>-5.5542409000000001E-3</v>
      </c>
      <c r="H130" s="3">
        <v>1.8461325000000001E-2</v>
      </c>
      <c r="I130" s="3">
        <v>8.4158022670537402E-3</v>
      </c>
      <c r="J130" s="3">
        <v>1.1516105501584661E-2</v>
      </c>
      <c r="K130" s="3">
        <v>7.914010763675601E-3</v>
      </c>
    </row>
    <row r="131" spans="1:11" x14ac:dyDescent="0.2">
      <c r="A131" s="7">
        <f t="shared" si="7"/>
        <v>1984</v>
      </c>
      <c r="B131" s="5">
        <v>10</v>
      </c>
      <c r="C131" s="3">
        <f t="shared" ref="C131:C194" si="8">I131-K131</f>
        <v>2.5024068528253347E-2</v>
      </c>
      <c r="D131" s="3">
        <f t="shared" ref="D131:D194" si="9">J131-K131</f>
        <v>2.0613777093635106E-2</v>
      </c>
      <c r="E131" s="3">
        <f>G131-K131</f>
        <v>1.2610181091698489E-2</v>
      </c>
      <c r="F131" s="3">
        <f t="shared" ref="F131:F194" si="10">H131-K131</f>
        <v>3.754792809169849E-2</v>
      </c>
      <c r="G131" s="3">
        <v>2.0898900000000002E-2</v>
      </c>
      <c r="H131" s="3">
        <v>4.5836647000000001E-2</v>
      </c>
      <c r="I131" s="3">
        <v>3.3312787436554858E-2</v>
      </c>
      <c r="J131" s="3">
        <v>2.8902496001936617E-2</v>
      </c>
      <c r="K131" s="3">
        <v>8.2887189083015126E-3</v>
      </c>
    </row>
    <row r="132" spans="1:11" x14ac:dyDescent="0.2">
      <c r="A132" s="7">
        <f t="shared" si="7"/>
        <v>1984</v>
      </c>
      <c r="B132" s="5">
        <v>11</v>
      </c>
      <c r="C132" s="3">
        <f t="shared" si="8"/>
        <v>1.761794757328598E-2</v>
      </c>
      <c r="D132" s="3">
        <f t="shared" si="9"/>
        <v>-7.2210760896152699E-3</v>
      </c>
      <c r="E132" s="3">
        <f>G132-K132</f>
        <v>2.1320080200248243E-2</v>
      </c>
      <c r="F132" s="3">
        <f t="shared" si="10"/>
        <v>-7.525378199751756E-3</v>
      </c>
      <c r="G132" s="3">
        <v>3.0301109999999999E-2</v>
      </c>
      <c r="H132" s="3">
        <v>1.4556516000000001E-3</v>
      </c>
      <c r="I132" s="3">
        <v>2.6598977373037735E-2</v>
      </c>
      <c r="J132" s="3">
        <v>1.7599537101364859E-3</v>
      </c>
      <c r="K132" s="3">
        <v>8.9810297997517559E-3</v>
      </c>
    </row>
    <row r="133" spans="1:11" x14ac:dyDescent="0.2">
      <c r="A133" s="7">
        <f t="shared" si="7"/>
        <v>1984</v>
      </c>
      <c r="B133" s="5">
        <v>12</v>
      </c>
      <c r="C133" s="3">
        <f t="shared" si="8"/>
        <v>-4.856681783432374E-2</v>
      </c>
      <c r="D133" s="3">
        <f t="shared" si="9"/>
        <v>-3.9937695910168082E-2</v>
      </c>
      <c r="E133" s="3">
        <f>G133-K133</f>
        <v>-2.7976888243311841E-2</v>
      </c>
      <c r="F133" s="3">
        <f t="shared" si="10"/>
        <v>-3.8081568243311846E-2</v>
      </c>
      <c r="G133" s="3">
        <v>-1.8576261E-2</v>
      </c>
      <c r="H133" s="3">
        <v>-2.8680941000000001E-2</v>
      </c>
      <c r="I133" s="3">
        <v>-3.9166190591011896E-2</v>
      </c>
      <c r="J133" s="3">
        <v>-3.0537068666856237E-2</v>
      </c>
      <c r="K133" s="3">
        <v>9.4006272433118428E-3</v>
      </c>
    </row>
    <row r="134" spans="1:11" x14ac:dyDescent="0.2">
      <c r="A134" s="7">
        <f t="shared" si="7"/>
        <v>1985</v>
      </c>
      <c r="B134" s="5">
        <v>1</v>
      </c>
      <c r="C134" s="3">
        <f t="shared" si="8"/>
        <v>6.7649495576224319E-3</v>
      </c>
      <c r="D134" s="3">
        <f t="shared" si="9"/>
        <v>5.5120826013744927E-2</v>
      </c>
      <c r="E134" s="3">
        <f>G134-K134</f>
        <v>1.764335030465991E-2</v>
      </c>
      <c r="F134" s="3">
        <f t="shared" si="10"/>
        <v>6.5641785304659903E-2</v>
      </c>
      <c r="G134" s="3">
        <v>2.7586855E-2</v>
      </c>
      <c r="H134" s="3">
        <v>7.5585289999999999E-2</v>
      </c>
      <c r="I134" s="3">
        <v>1.6708454252962524E-2</v>
      </c>
      <c r="J134" s="3">
        <v>6.5064330709085016E-2</v>
      </c>
      <c r="K134" s="3">
        <v>9.9435046953400916E-3</v>
      </c>
    </row>
    <row r="135" spans="1:11" x14ac:dyDescent="0.2">
      <c r="A135" s="7">
        <f t="shared" si="7"/>
        <v>1985</v>
      </c>
      <c r="B135" s="5">
        <v>2</v>
      </c>
      <c r="C135" s="3">
        <f t="shared" si="8"/>
        <v>2.6181987017609272E-2</v>
      </c>
      <c r="D135" s="3">
        <f t="shared" si="9"/>
        <v>1.5384763715624869E-2</v>
      </c>
      <c r="E135" s="3">
        <f>G135-K135</f>
        <v>0.10018125352869868</v>
      </c>
      <c r="F135" s="3">
        <f t="shared" si="10"/>
        <v>7.870688528698681E-3</v>
      </c>
      <c r="G135" s="3">
        <v>0.11047878999999999</v>
      </c>
      <c r="H135" s="3">
        <v>1.8168225E-2</v>
      </c>
      <c r="I135" s="3">
        <v>3.6479523488910592E-2</v>
      </c>
      <c r="J135" s="3">
        <v>2.5682300186926188E-2</v>
      </c>
      <c r="K135" s="3">
        <v>1.0297536471301319E-2</v>
      </c>
    </row>
    <row r="136" spans="1:11" x14ac:dyDescent="0.2">
      <c r="A136" s="7">
        <f t="shared" si="7"/>
        <v>1985</v>
      </c>
      <c r="B136" s="5">
        <v>3</v>
      </c>
      <c r="C136" s="3">
        <f t="shared" si="8"/>
        <v>6.8253525218819139E-2</v>
      </c>
      <c r="D136" s="3">
        <f t="shared" si="9"/>
        <v>4.1396704425304888E-2</v>
      </c>
      <c r="E136" s="3">
        <f>G136-K136</f>
        <v>7.6998795690801758E-2</v>
      </c>
      <c r="F136" s="3">
        <f t="shared" si="10"/>
        <v>3.6335246690801765E-2</v>
      </c>
      <c r="G136" s="3">
        <v>8.8702006999999999E-2</v>
      </c>
      <c r="H136" s="3">
        <v>4.8038457999999999E-2</v>
      </c>
      <c r="I136" s="3">
        <v>7.995673652801738E-2</v>
      </c>
      <c r="J136" s="3">
        <v>5.3099915734503123E-2</v>
      </c>
      <c r="K136" s="3">
        <v>1.1703211309198236E-2</v>
      </c>
    </row>
    <row r="137" spans="1:11" x14ac:dyDescent="0.2">
      <c r="A137" s="7">
        <f t="shared" si="7"/>
        <v>1985</v>
      </c>
      <c r="B137" s="5">
        <v>4</v>
      </c>
      <c r="C137" s="3">
        <f t="shared" si="8"/>
        <v>7.0481019027961445E-2</v>
      </c>
      <c r="D137" s="3">
        <f t="shared" si="9"/>
        <v>5.0871312721292757E-2</v>
      </c>
      <c r="E137" s="3">
        <f>G137-K137</f>
        <v>0.15467628432271741</v>
      </c>
      <c r="F137" s="3">
        <f t="shared" si="10"/>
        <v>3.2020597322717413E-2</v>
      </c>
      <c r="G137" s="3">
        <v>0.16600419</v>
      </c>
      <c r="H137" s="3">
        <v>4.3348502999999997E-2</v>
      </c>
      <c r="I137" s="3">
        <v>8.1808924705244035E-2</v>
      </c>
      <c r="J137" s="3">
        <v>6.219921839857534E-2</v>
      </c>
      <c r="K137" s="3">
        <v>1.1327905677282583E-2</v>
      </c>
    </row>
    <row r="138" spans="1:11" x14ac:dyDescent="0.2">
      <c r="A138" s="7">
        <f t="shared" si="7"/>
        <v>1985</v>
      </c>
      <c r="B138" s="5">
        <v>5</v>
      </c>
      <c r="C138" s="3">
        <f t="shared" si="8"/>
        <v>1.9790173695763986E-3</v>
      </c>
      <c r="D138" s="3">
        <f t="shared" si="9"/>
        <v>-1.61255371728245E-2</v>
      </c>
      <c r="E138" s="3">
        <f>G138-K138</f>
        <v>4.0165970330733158E-2</v>
      </c>
      <c r="F138" s="3">
        <f t="shared" si="10"/>
        <v>-1.124591813926684E-2</v>
      </c>
      <c r="G138" s="3">
        <v>5.1854020000000001E-2</v>
      </c>
      <c r="H138" s="3">
        <v>4.4213153000000001E-4</v>
      </c>
      <c r="I138" s="3">
        <v>1.3667067038843239E-2</v>
      </c>
      <c r="J138" s="3">
        <v>-4.4374875035576578E-3</v>
      </c>
      <c r="K138" s="3">
        <v>1.1688049669266841E-2</v>
      </c>
    </row>
    <row r="139" spans="1:11" x14ac:dyDescent="0.2">
      <c r="A139" s="7">
        <f t="shared" si="7"/>
        <v>1985</v>
      </c>
      <c r="B139" s="5">
        <v>6</v>
      </c>
      <c r="C139" s="3">
        <f t="shared" si="8"/>
        <v>-2.1843482261373282E-2</v>
      </c>
      <c r="D139" s="3">
        <f t="shared" si="9"/>
        <v>-2.2818477419614791E-2</v>
      </c>
      <c r="E139" s="3">
        <f>G139-K139</f>
        <v>-2.5749754219765303E-2</v>
      </c>
      <c r="F139" s="3">
        <f t="shared" si="10"/>
        <v>-2.1809619219765305E-2</v>
      </c>
      <c r="G139" s="3">
        <v>-1.5085932E-2</v>
      </c>
      <c r="H139" s="3">
        <v>-1.1145797000000001E-2</v>
      </c>
      <c r="I139" s="3">
        <v>-1.1179660041607975E-2</v>
      </c>
      <c r="J139" s="3">
        <v>-1.2154655199849485E-2</v>
      </c>
      <c r="K139" s="3">
        <v>1.0663822219765305E-2</v>
      </c>
    </row>
    <row r="140" spans="1:11" x14ac:dyDescent="0.2">
      <c r="A140" s="7">
        <f t="shared" si="7"/>
        <v>1985</v>
      </c>
      <c r="B140" s="5">
        <v>7</v>
      </c>
      <c r="C140" s="3">
        <f t="shared" si="8"/>
        <v>7.771726390337276E-2</v>
      </c>
      <c r="D140" s="3">
        <f t="shared" si="9"/>
        <v>7.5355786019307716E-2</v>
      </c>
      <c r="E140" s="3">
        <f>G140-K140</f>
        <v>0.17830115793435641</v>
      </c>
      <c r="F140" s="3">
        <f t="shared" si="10"/>
        <v>8.5430703934356436E-2</v>
      </c>
      <c r="G140" s="3">
        <v>0.19020124999999999</v>
      </c>
      <c r="H140" s="3">
        <v>9.7330795999999997E-2</v>
      </c>
      <c r="I140" s="3">
        <v>8.9617355969016321E-2</v>
      </c>
      <c r="J140" s="3">
        <v>8.7255878084951277E-2</v>
      </c>
      <c r="K140" s="3">
        <v>1.1900092065643561E-2</v>
      </c>
    </row>
    <row r="141" spans="1:11" x14ac:dyDescent="0.2">
      <c r="A141" s="7">
        <f t="shared" si="7"/>
        <v>1985</v>
      </c>
      <c r="B141" s="5">
        <v>8</v>
      </c>
      <c r="C141" s="3">
        <f t="shared" si="8"/>
        <v>4.6922702624697103E-2</v>
      </c>
      <c r="D141" s="3">
        <f t="shared" si="9"/>
        <v>-1.9982405565582909E-3</v>
      </c>
      <c r="E141" s="3">
        <f>G141-K141</f>
        <v>3.0447785775994676E-2</v>
      </c>
      <c r="F141" s="3">
        <f t="shared" si="10"/>
        <v>-4.8818684240053249E-3</v>
      </c>
      <c r="G141" s="3">
        <v>4.2639426000000001E-2</v>
      </c>
      <c r="H141" s="3">
        <v>7.3097717999999999E-3</v>
      </c>
      <c r="I141" s="3">
        <v>5.9114342848702428E-2</v>
      </c>
      <c r="J141" s="3">
        <v>1.0193399667447034E-2</v>
      </c>
      <c r="K141" s="3">
        <v>1.2191640224005325E-2</v>
      </c>
    </row>
    <row r="142" spans="1:11" x14ac:dyDescent="0.2">
      <c r="A142" s="7">
        <f t="shared" si="7"/>
        <v>1985</v>
      </c>
      <c r="B142" s="5">
        <v>9</v>
      </c>
      <c r="C142" s="3">
        <f t="shared" si="8"/>
        <v>9.083645170513497E-3</v>
      </c>
      <c r="D142" s="3">
        <f t="shared" si="9"/>
        <v>3.7675463331385911E-2</v>
      </c>
      <c r="E142" s="3">
        <f>G142-K142</f>
        <v>6.5815319457711685E-2</v>
      </c>
      <c r="F142" s="3">
        <f t="shared" si="10"/>
        <v>3.9634227457711682E-2</v>
      </c>
      <c r="G142" s="3">
        <v>7.8753600000000007E-2</v>
      </c>
      <c r="H142" s="3">
        <v>5.2572507999999997E-2</v>
      </c>
      <c r="I142" s="3">
        <v>2.2021925712801815E-2</v>
      </c>
      <c r="J142" s="3">
        <v>5.0613743873674233E-2</v>
      </c>
      <c r="K142" s="3">
        <v>1.2938280542288318E-2</v>
      </c>
    </row>
    <row r="143" spans="1:11" x14ac:dyDescent="0.2">
      <c r="A143" s="7">
        <f t="shared" ref="A143:A206" si="11">IF(B143=1,A142+1,A142)</f>
        <v>1985</v>
      </c>
      <c r="B143" s="5">
        <v>10</v>
      </c>
      <c r="C143" s="3">
        <f t="shared" si="8"/>
        <v>1.4988217828726809E-2</v>
      </c>
      <c r="D143" s="3">
        <f t="shared" si="9"/>
        <v>3.6408897002147417E-2</v>
      </c>
      <c r="E143" s="3">
        <f>G143-K143</f>
        <v>-1.1153590608368312E-2</v>
      </c>
      <c r="F143" s="3">
        <f t="shared" si="10"/>
        <v>4.6780281691631689E-2</v>
      </c>
      <c r="G143" s="3">
        <v>1.1718167E-3</v>
      </c>
      <c r="H143" s="3">
        <v>5.9105689000000003E-2</v>
      </c>
      <c r="I143" s="3">
        <v>2.7313625137095121E-2</v>
      </c>
      <c r="J143" s="3">
        <v>4.873430431051573E-2</v>
      </c>
      <c r="K143" s="3">
        <v>1.2325407308368312E-2</v>
      </c>
    </row>
    <row r="144" spans="1:11" x14ac:dyDescent="0.2">
      <c r="A144" s="7">
        <f t="shared" si="11"/>
        <v>1985</v>
      </c>
      <c r="B144" s="5">
        <v>11</v>
      </c>
      <c r="C144" s="3">
        <f t="shared" si="8"/>
        <v>-3.3159594785238271E-2</v>
      </c>
      <c r="D144" s="3">
        <f t="shared" si="9"/>
        <v>-4.7490893037710973E-2</v>
      </c>
      <c r="E144" s="3">
        <f>G144-K144</f>
        <v>-1.8144222027706002E-3</v>
      </c>
      <c r="F144" s="3">
        <f t="shared" si="10"/>
        <v>-5.6493941202770605E-2</v>
      </c>
      <c r="G144" s="3">
        <v>1.2821959000000001E-2</v>
      </c>
      <c r="H144" s="3">
        <v>-4.1857560000000002E-2</v>
      </c>
      <c r="I144" s="3">
        <v>-1.8523213582467668E-2</v>
      </c>
      <c r="J144" s="3">
        <v>-3.285451183494037E-2</v>
      </c>
      <c r="K144" s="3">
        <v>1.4636381202770601E-2</v>
      </c>
    </row>
    <row r="145" spans="1:11" x14ac:dyDescent="0.2">
      <c r="A145" s="7">
        <f t="shared" si="11"/>
        <v>1985</v>
      </c>
      <c r="B145" s="5">
        <v>12</v>
      </c>
      <c r="C145" s="3">
        <f t="shared" si="8"/>
        <v>-4.2474268731708481E-2</v>
      </c>
      <c r="D145" s="3">
        <f t="shared" si="9"/>
        <v>-1.0600128427273228E-2</v>
      </c>
      <c r="E145" s="3">
        <f>G145-K145</f>
        <v>-3.9954755730233604E-2</v>
      </c>
      <c r="F145" s="3">
        <f t="shared" si="10"/>
        <v>-1.6332456930233604E-2</v>
      </c>
      <c r="G145" s="3">
        <v>-2.5515867000000001E-2</v>
      </c>
      <c r="H145" s="3">
        <v>-1.8935682000000001E-3</v>
      </c>
      <c r="I145" s="3">
        <v>-2.8035380001474874E-2</v>
      </c>
      <c r="J145" s="3">
        <v>3.8387603029603756E-3</v>
      </c>
      <c r="K145" s="3">
        <v>1.4438888730233603E-2</v>
      </c>
    </row>
    <row r="146" spans="1:11" x14ac:dyDescent="0.2">
      <c r="A146" s="7">
        <f t="shared" si="11"/>
        <v>1986</v>
      </c>
      <c r="B146" s="5">
        <v>1</v>
      </c>
      <c r="C146" s="3">
        <f t="shared" si="8"/>
        <v>2.4529136058738635E-2</v>
      </c>
      <c r="D146" s="3">
        <f t="shared" si="9"/>
        <v>5.9853916533637253E-2</v>
      </c>
      <c r="E146" s="3">
        <f>G146-K146</f>
        <v>3.9668497331942394E-3</v>
      </c>
      <c r="F146" s="3">
        <f t="shared" si="10"/>
        <v>6.0767772733194239E-2</v>
      </c>
      <c r="G146" s="3">
        <v>1.8610580000000002E-2</v>
      </c>
      <c r="H146" s="3">
        <v>7.5411503000000005E-2</v>
      </c>
      <c r="I146" s="3">
        <v>3.9172866325544398E-2</v>
      </c>
      <c r="J146" s="3">
        <v>7.4497646800443018E-2</v>
      </c>
      <c r="K146" s="3">
        <v>1.4643730266805762E-2</v>
      </c>
    </row>
    <row r="147" spans="1:11" x14ac:dyDescent="0.2">
      <c r="A147" s="7">
        <f t="shared" si="11"/>
        <v>1986</v>
      </c>
      <c r="B147" s="5">
        <v>2</v>
      </c>
      <c r="C147" s="3">
        <f t="shared" si="8"/>
        <v>-2.7344135236620978E-2</v>
      </c>
      <c r="D147" s="3">
        <f t="shared" si="9"/>
        <v>-3.1516480307779357E-2</v>
      </c>
      <c r="E147" s="3">
        <f>G147-K147</f>
        <v>-6.7897045856532296E-3</v>
      </c>
      <c r="F147" s="3">
        <f t="shared" si="10"/>
        <v>-1.394558628565323E-2</v>
      </c>
      <c r="G147" s="3">
        <v>6.0058152000000004E-3</v>
      </c>
      <c r="H147" s="3">
        <v>-1.1500665000000001E-3</v>
      </c>
      <c r="I147" s="3">
        <v>-1.454861545096775E-2</v>
      </c>
      <c r="J147" s="3">
        <v>-1.8720960522126129E-2</v>
      </c>
      <c r="K147" s="3">
        <v>1.279551978565323E-2</v>
      </c>
    </row>
    <row r="148" spans="1:11" x14ac:dyDescent="0.2">
      <c r="A148" s="7">
        <f t="shared" si="11"/>
        <v>1986</v>
      </c>
      <c r="B148" s="5">
        <v>3</v>
      </c>
      <c r="C148" s="3">
        <f t="shared" si="8"/>
        <v>2.8055765856286073E-2</v>
      </c>
      <c r="D148" s="3">
        <f t="shared" si="9"/>
        <v>7.7604181470796355E-2</v>
      </c>
      <c r="E148" s="3">
        <f>G148-K148</f>
        <v>-2.6363687594709737E-2</v>
      </c>
      <c r="F148" s="3">
        <f t="shared" si="10"/>
        <v>8.0591110405290253E-2</v>
      </c>
      <c r="G148" s="3">
        <v>-1.4387980999999999E-2</v>
      </c>
      <c r="H148" s="3">
        <v>9.2566816999999996E-2</v>
      </c>
      <c r="I148" s="3">
        <v>4.0031472450995809E-2</v>
      </c>
      <c r="J148" s="3">
        <v>8.9579888065506097E-2</v>
      </c>
      <c r="K148" s="3">
        <v>1.1975706594709737E-2</v>
      </c>
    </row>
    <row r="149" spans="1:11" x14ac:dyDescent="0.2">
      <c r="A149" s="7">
        <f t="shared" si="11"/>
        <v>1986</v>
      </c>
      <c r="B149" s="5">
        <v>4</v>
      </c>
      <c r="C149" s="3">
        <f t="shared" si="8"/>
        <v>3.6671820819280276E-2</v>
      </c>
      <c r="D149" s="3">
        <f t="shared" si="9"/>
        <v>6.3087736863624067E-2</v>
      </c>
      <c r="E149" s="3">
        <f>G149-K149</f>
        <v>3.552336600590375E-2</v>
      </c>
      <c r="F149" s="3">
        <f t="shared" si="10"/>
        <v>5.6290810005903746E-2</v>
      </c>
      <c r="G149" s="3">
        <v>4.5337403999999998E-2</v>
      </c>
      <c r="H149" s="3">
        <v>6.6104847999999994E-2</v>
      </c>
      <c r="I149" s="3">
        <v>4.6485858813376524E-2</v>
      </c>
      <c r="J149" s="3">
        <v>7.2901774857720314E-2</v>
      </c>
      <c r="K149" s="3">
        <v>9.8140379940962457E-3</v>
      </c>
    </row>
    <row r="150" spans="1:11" x14ac:dyDescent="0.2">
      <c r="A150" s="7">
        <f t="shared" si="11"/>
        <v>1986</v>
      </c>
      <c r="B150" s="5">
        <v>5</v>
      </c>
      <c r="C150" s="3">
        <f t="shared" si="8"/>
        <v>1.1483244468274492E-2</v>
      </c>
      <c r="D150" s="3">
        <f t="shared" si="9"/>
        <v>1.0695876534065299E-2</v>
      </c>
      <c r="E150" s="3">
        <f>G150-K150</f>
        <v>3.729719695661915E-2</v>
      </c>
      <c r="F150" s="3">
        <f t="shared" si="10"/>
        <v>-5.6627043380847591E-5</v>
      </c>
      <c r="G150" s="3">
        <v>4.7672175999999997E-2</v>
      </c>
      <c r="H150" s="3">
        <v>1.0318351999999999E-2</v>
      </c>
      <c r="I150" s="3">
        <v>2.1858223511655339E-2</v>
      </c>
      <c r="J150" s="3">
        <v>2.1070855577446146E-2</v>
      </c>
      <c r="K150" s="3">
        <v>1.0374979043380847E-2</v>
      </c>
    </row>
    <row r="151" spans="1:11" x14ac:dyDescent="0.2">
      <c r="A151" s="7">
        <f t="shared" si="11"/>
        <v>1986</v>
      </c>
      <c r="B151" s="5">
        <v>6</v>
      </c>
      <c r="C151" s="3">
        <f t="shared" si="8"/>
        <v>8.4223494802703261E-4</v>
      </c>
      <c r="D151" s="3">
        <f t="shared" si="9"/>
        <v>-4.9777189035225003E-2</v>
      </c>
      <c r="E151" s="3">
        <f>G151-K151</f>
        <v>2.9745130143340747E-2</v>
      </c>
      <c r="F151" s="3">
        <f t="shared" si="10"/>
        <v>-4.8319726856659251E-2</v>
      </c>
      <c r="G151" s="3">
        <v>3.9225688000000002E-2</v>
      </c>
      <c r="H151" s="3">
        <v>-3.8839169E-2</v>
      </c>
      <c r="I151" s="3">
        <v>1.0322792804686287E-2</v>
      </c>
      <c r="J151" s="3">
        <v>-4.0296631178565745E-2</v>
      </c>
      <c r="K151" s="3">
        <v>9.4805578566592545E-3</v>
      </c>
    </row>
    <row r="152" spans="1:11" x14ac:dyDescent="0.2">
      <c r="A152" s="7">
        <f t="shared" si="11"/>
        <v>1986</v>
      </c>
      <c r="B152" s="5">
        <v>7</v>
      </c>
      <c r="C152" s="3">
        <f t="shared" si="8"/>
        <v>2.2218462222741306E-2</v>
      </c>
      <c r="D152" s="3">
        <f t="shared" si="9"/>
        <v>-5.0051918144982735E-2</v>
      </c>
      <c r="E152" s="3">
        <f>G152-K152</f>
        <v>0.11679140918757901</v>
      </c>
      <c r="F152" s="3">
        <f t="shared" si="10"/>
        <v>-4.0168650812420985E-2</v>
      </c>
      <c r="G152" s="3">
        <v>0.12884266999999999</v>
      </c>
      <c r="H152" s="3">
        <v>-2.8117389999999999E-2</v>
      </c>
      <c r="I152" s="3">
        <v>3.4269723035162292E-2</v>
      </c>
      <c r="J152" s="3">
        <v>-3.8000657332561749E-2</v>
      </c>
      <c r="K152" s="3">
        <v>1.2051260812420984E-2</v>
      </c>
    </row>
    <row r="153" spans="1:11" x14ac:dyDescent="0.2">
      <c r="A153" s="7">
        <f t="shared" si="11"/>
        <v>1986</v>
      </c>
      <c r="B153" s="5">
        <v>8</v>
      </c>
      <c r="C153" s="3">
        <f t="shared" si="8"/>
        <v>8.5637701364091739E-2</v>
      </c>
      <c r="D153" s="3">
        <f t="shared" si="9"/>
        <v>4.7310928646062761E-2</v>
      </c>
      <c r="E153" s="3">
        <f>G153-K153</f>
        <v>0.18758662039584029</v>
      </c>
      <c r="F153" s="3">
        <f t="shared" si="10"/>
        <v>5.8410429395840291E-2</v>
      </c>
      <c r="G153" s="3">
        <v>0.20050103</v>
      </c>
      <c r="H153" s="3">
        <v>7.1324839000000001E-2</v>
      </c>
      <c r="I153" s="3">
        <v>9.855211096825145E-2</v>
      </c>
      <c r="J153" s="3">
        <v>6.0225338250222471E-2</v>
      </c>
      <c r="K153" s="3">
        <v>1.2914409604159707E-2</v>
      </c>
    </row>
    <row r="154" spans="1:11" x14ac:dyDescent="0.2">
      <c r="A154" s="7">
        <f t="shared" si="11"/>
        <v>1986</v>
      </c>
      <c r="B154" s="5">
        <v>9</v>
      </c>
      <c r="C154" s="3">
        <f t="shared" si="8"/>
        <v>6.9669582863909021E-2</v>
      </c>
      <c r="D154" s="3">
        <f t="shared" si="9"/>
        <v>3.8368283545752294E-2</v>
      </c>
      <c r="E154" s="3">
        <f>G154-K154</f>
        <v>0.10587339312023961</v>
      </c>
      <c r="F154" s="3">
        <f t="shared" si="10"/>
        <v>3.798119912023961E-2</v>
      </c>
      <c r="G154" s="3">
        <v>0.11981641</v>
      </c>
      <c r="H154" s="3">
        <v>5.1924216000000002E-2</v>
      </c>
      <c r="I154" s="3">
        <v>8.3612599743669413E-2</v>
      </c>
      <c r="J154" s="3">
        <v>5.2311300425512686E-2</v>
      </c>
      <c r="K154" s="3">
        <v>1.394301687976039E-2</v>
      </c>
    </row>
    <row r="155" spans="1:11" x14ac:dyDescent="0.2">
      <c r="A155" s="7">
        <f t="shared" si="11"/>
        <v>1986</v>
      </c>
      <c r="B155" s="5">
        <v>10</v>
      </c>
      <c r="C155" s="3">
        <f t="shared" si="8"/>
        <v>0.15882992490598691</v>
      </c>
      <c r="D155" s="3">
        <f t="shared" si="9"/>
        <v>0.10341827547129856</v>
      </c>
      <c r="E155" s="3">
        <f>G155-K155</f>
        <v>0.24013769440504917</v>
      </c>
      <c r="F155" s="3">
        <f t="shared" si="10"/>
        <v>9.6363194405049146E-2</v>
      </c>
      <c r="G155" s="3">
        <v>0.25233638000000003</v>
      </c>
      <c r="H155" s="3">
        <v>0.10856188</v>
      </c>
      <c r="I155" s="3">
        <v>0.17102861050093776</v>
      </c>
      <c r="J155" s="3">
        <v>0.11561696106624941</v>
      </c>
      <c r="K155" s="3">
        <v>1.2198685594950855E-2</v>
      </c>
    </row>
    <row r="156" spans="1:11" x14ac:dyDescent="0.2">
      <c r="A156" s="7">
        <f t="shared" si="11"/>
        <v>1986</v>
      </c>
      <c r="B156" s="5">
        <v>11</v>
      </c>
      <c r="C156" s="3">
        <f t="shared" si="8"/>
        <v>1.1192253416578394E-2</v>
      </c>
      <c r="D156" s="3">
        <f t="shared" si="9"/>
        <v>-2.2930944218225464E-3</v>
      </c>
      <c r="E156" s="3">
        <f>G156-K156</f>
        <v>3.7798505130343385E-2</v>
      </c>
      <c r="F156" s="3">
        <f t="shared" si="10"/>
        <v>1.7502613034338192E-4</v>
      </c>
      <c r="G156" s="3">
        <v>5.0234158000000001E-2</v>
      </c>
      <c r="H156" s="3">
        <v>1.2610679E-2</v>
      </c>
      <c r="I156" s="3">
        <v>2.3627906286235012E-2</v>
      </c>
      <c r="J156" s="3">
        <v>1.0142558447834071E-2</v>
      </c>
      <c r="K156" s="3">
        <v>1.2435652869656618E-2</v>
      </c>
    </row>
    <row r="157" spans="1:11" x14ac:dyDescent="0.2">
      <c r="A157" s="7">
        <f t="shared" si="11"/>
        <v>1986</v>
      </c>
      <c r="B157" s="5">
        <v>12</v>
      </c>
      <c r="C157" s="3">
        <f t="shared" si="8"/>
        <v>3.3175673735964202E-2</v>
      </c>
      <c r="D157" s="3">
        <f t="shared" si="9"/>
        <v>4.7781926786116487E-2</v>
      </c>
      <c r="E157" s="3">
        <f>G157-K157</f>
        <v>4.2978943521850548E-2</v>
      </c>
      <c r="F157" s="3">
        <f t="shared" si="10"/>
        <v>6.4346046521850553E-2</v>
      </c>
      <c r="G157" s="3">
        <v>5.4278387999999997E-2</v>
      </c>
      <c r="H157" s="3">
        <v>7.5645490999999995E-2</v>
      </c>
      <c r="I157" s="3">
        <v>4.4475118214113651E-2</v>
      </c>
      <c r="J157" s="3">
        <v>5.9081371264265936E-2</v>
      </c>
      <c r="K157" s="3">
        <v>1.1299444478149448E-2</v>
      </c>
    </row>
    <row r="158" spans="1:11" x14ac:dyDescent="0.2">
      <c r="A158" s="7">
        <f t="shared" si="11"/>
        <v>1987</v>
      </c>
      <c r="B158" s="5">
        <v>1</v>
      </c>
      <c r="C158" s="3">
        <f t="shared" si="8"/>
        <v>7.5406363165944679E-2</v>
      </c>
      <c r="D158" s="3">
        <f t="shared" si="9"/>
        <v>1.1437762144030634E-2</v>
      </c>
      <c r="E158" s="3">
        <f>G158-K158</f>
        <v>0.15484738932763276</v>
      </c>
      <c r="F158" s="3">
        <f t="shared" si="10"/>
        <v>1.3004698327632748E-2</v>
      </c>
      <c r="G158" s="3">
        <v>0.16814413</v>
      </c>
      <c r="H158" s="3">
        <v>2.6301438999999999E-2</v>
      </c>
      <c r="I158" s="3">
        <v>8.8703103838311925E-2</v>
      </c>
      <c r="J158" s="3">
        <v>2.4734502816397885E-2</v>
      </c>
      <c r="K158" s="3">
        <v>1.3296740672367252E-2</v>
      </c>
    </row>
    <row r="159" spans="1:11" x14ac:dyDescent="0.2">
      <c r="A159" s="7">
        <f t="shared" si="11"/>
        <v>1987</v>
      </c>
      <c r="B159" s="5">
        <v>2</v>
      </c>
      <c r="C159" s="3">
        <f t="shared" si="8"/>
        <v>7.6978507699514892E-2</v>
      </c>
      <c r="D159" s="3">
        <f t="shared" si="9"/>
        <v>7.3787023959899695E-2</v>
      </c>
      <c r="E159" s="3">
        <f>G159-K159</f>
        <v>0.13398898753560892</v>
      </c>
      <c r="F159" s="3">
        <f t="shared" si="10"/>
        <v>3.8462312535608924E-2</v>
      </c>
      <c r="G159" s="3">
        <v>0.14628625000000001</v>
      </c>
      <c r="H159" s="3">
        <v>5.0759575000000001E-2</v>
      </c>
      <c r="I159" s="3">
        <v>8.9275770163905976E-2</v>
      </c>
      <c r="J159" s="3">
        <v>8.6084286424290779E-2</v>
      </c>
      <c r="K159" s="3">
        <v>1.2297262464391079E-2</v>
      </c>
    </row>
    <row r="160" spans="1:11" x14ac:dyDescent="0.2">
      <c r="A160" s="7">
        <f t="shared" si="11"/>
        <v>1987</v>
      </c>
      <c r="B160" s="5">
        <v>3</v>
      </c>
      <c r="C160" s="3">
        <f t="shared" si="8"/>
        <v>4.2970213875748189E-2</v>
      </c>
      <c r="D160" s="3">
        <f t="shared" si="9"/>
        <v>3.0182911788100966E-2</v>
      </c>
      <c r="E160" s="3">
        <f>G160-K160</f>
        <v>9.0958271988515429E-2</v>
      </c>
      <c r="F160" s="3">
        <f t="shared" si="10"/>
        <v>4.6379524988515421E-2</v>
      </c>
      <c r="G160" s="3">
        <v>0.10337888000000001</v>
      </c>
      <c r="H160" s="3">
        <v>5.8800132999999997E-2</v>
      </c>
      <c r="I160" s="3">
        <v>5.5390821887232766E-2</v>
      </c>
      <c r="J160" s="3">
        <v>4.2603519799585543E-2</v>
      </c>
      <c r="K160" s="3">
        <v>1.2420608011484575E-2</v>
      </c>
    </row>
    <row r="161" spans="1:11" x14ac:dyDescent="0.2">
      <c r="A161" s="7">
        <f t="shared" si="11"/>
        <v>1987</v>
      </c>
      <c r="B161" s="5">
        <v>4</v>
      </c>
      <c r="C161" s="3">
        <f t="shared" si="8"/>
        <v>4.0804022456386084E-2</v>
      </c>
      <c r="D161" s="3">
        <f t="shared" si="9"/>
        <v>2.8072682117742102E-2</v>
      </c>
      <c r="E161" s="3">
        <f>G161-K161</f>
        <v>5.0578880608331753E-2</v>
      </c>
      <c r="F161" s="3">
        <f t="shared" si="10"/>
        <v>3.6339632608331757E-2</v>
      </c>
      <c r="G161" s="3">
        <v>6.1228366999999999E-2</v>
      </c>
      <c r="H161" s="3">
        <v>4.6989119000000003E-2</v>
      </c>
      <c r="I161" s="3">
        <v>5.145350884805433E-2</v>
      </c>
      <c r="J161" s="3">
        <v>3.8722168509410348E-2</v>
      </c>
      <c r="K161" s="3">
        <v>1.0649486391668248E-2</v>
      </c>
    </row>
    <row r="162" spans="1:11" x14ac:dyDescent="0.2">
      <c r="A162" s="7">
        <f t="shared" si="11"/>
        <v>1987</v>
      </c>
      <c r="B162" s="5">
        <v>5</v>
      </c>
      <c r="C162" s="3">
        <f t="shared" si="8"/>
        <v>1.954101191036689E-2</v>
      </c>
      <c r="D162" s="3">
        <f t="shared" si="9"/>
        <v>-1.8354654369932555E-3</v>
      </c>
      <c r="E162" s="3">
        <f>G162-K162</f>
        <v>5.2143446994359119E-2</v>
      </c>
      <c r="F162" s="3">
        <f t="shared" si="10"/>
        <v>1.4296439943591137E-3</v>
      </c>
      <c r="G162" s="3">
        <v>6.2695070000000006E-2</v>
      </c>
      <c r="H162" s="3">
        <v>1.1981267E-2</v>
      </c>
      <c r="I162" s="3">
        <v>3.0092634916007777E-2</v>
      </c>
      <c r="J162" s="3">
        <v>8.7161575686476311E-3</v>
      </c>
      <c r="K162" s="3">
        <v>1.0551623005640887E-2</v>
      </c>
    </row>
    <row r="163" spans="1:11" x14ac:dyDescent="0.2">
      <c r="A163" s="7">
        <f t="shared" si="11"/>
        <v>1987</v>
      </c>
      <c r="B163" s="5">
        <v>6</v>
      </c>
      <c r="C163" s="3">
        <f t="shared" si="8"/>
        <v>-3.3159198835723679E-2</v>
      </c>
      <c r="D163" s="3">
        <f t="shared" si="9"/>
        <v>-1.9790187543388869E-2</v>
      </c>
      <c r="E163" s="3">
        <f>G163-K163</f>
        <v>0.11948265623392029</v>
      </c>
      <c r="F163" s="3">
        <f t="shared" si="10"/>
        <v>4.7351322339202959E-3</v>
      </c>
      <c r="G163" s="3">
        <v>0.1288542</v>
      </c>
      <c r="H163" s="3">
        <v>1.4106676E-2</v>
      </c>
      <c r="I163" s="3">
        <v>-2.3787655069643976E-2</v>
      </c>
      <c r="J163" s="3">
        <v>-1.0418643777309167E-2</v>
      </c>
      <c r="K163" s="3">
        <v>9.3715437660797044E-3</v>
      </c>
    </row>
    <row r="164" spans="1:11" x14ac:dyDescent="0.2">
      <c r="A164" s="7">
        <f t="shared" si="11"/>
        <v>1987</v>
      </c>
      <c r="B164" s="5">
        <v>7</v>
      </c>
      <c r="C164" s="3">
        <f t="shared" si="8"/>
        <v>8.078789956818605E-2</v>
      </c>
      <c r="D164" s="3">
        <f t="shared" si="9"/>
        <v>0.13089418274899972</v>
      </c>
      <c r="E164" s="3">
        <f>G164-K164</f>
        <v>0.12999438270313751</v>
      </c>
      <c r="F164" s="3">
        <f t="shared" si="10"/>
        <v>0.12778835270313751</v>
      </c>
      <c r="G164" s="3">
        <v>0.13979878000000001</v>
      </c>
      <c r="H164" s="3">
        <v>0.13759275000000001</v>
      </c>
      <c r="I164" s="3">
        <v>9.0592296865048549E-2</v>
      </c>
      <c r="J164" s="3">
        <v>0.14069858004586222</v>
      </c>
      <c r="K164" s="3">
        <v>9.8043972968625045E-3</v>
      </c>
    </row>
    <row r="165" spans="1:11" x14ac:dyDescent="0.2">
      <c r="A165" s="7">
        <f t="shared" si="11"/>
        <v>1987</v>
      </c>
      <c r="B165" s="5">
        <v>8</v>
      </c>
      <c r="C165" s="3">
        <f t="shared" si="8"/>
        <v>1.8650688175599936E-2</v>
      </c>
      <c r="D165" s="3">
        <f t="shared" si="9"/>
        <v>4.5963786730316689E-2</v>
      </c>
      <c r="E165" s="3">
        <f>G165-K165</f>
        <v>1.9120879721230361E-2</v>
      </c>
      <c r="F165" s="3">
        <f t="shared" si="10"/>
        <v>4.572742972123036E-2</v>
      </c>
      <c r="G165" s="3">
        <v>2.8259413000000001E-2</v>
      </c>
      <c r="H165" s="3">
        <v>5.4865962999999997E-2</v>
      </c>
      <c r="I165" s="3">
        <v>2.7789221454369573E-2</v>
      </c>
      <c r="J165" s="3">
        <v>5.5102320009086325E-2</v>
      </c>
      <c r="K165" s="3">
        <v>9.1385332787696383E-3</v>
      </c>
    </row>
    <row r="166" spans="1:11" x14ac:dyDescent="0.2">
      <c r="A166" s="7">
        <f t="shared" si="11"/>
        <v>1987</v>
      </c>
      <c r="B166" s="5">
        <v>9</v>
      </c>
      <c r="C166" s="3">
        <f t="shared" si="8"/>
        <v>6.503029771898973E-2</v>
      </c>
      <c r="D166" s="3">
        <f t="shared" si="9"/>
        <v>3.5017114243389401E-2</v>
      </c>
      <c r="E166" s="3">
        <f>G166-K166</f>
        <v>5.1557859961881919E-2</v>
      </c>
      <c r="F166" s="3">
        <f t="shared" si="10"/>
        <v>5.1132647961881918E-2</v>
      </c>
      <c r="G166" s="3">
        <v>6.0624668E-2</v>
      </c>
      <c r="H166" s="3">
        <v>6.0199455999999998E-2</v>
      </c>
      <c r="I166" s="3">
        <v>7.4097105757107817E-2</v>
      </c>
      <c r="J166" s="3">
        <v>4.4083922281507482E-2</v>
      </c>
      <c r="K166" s="3">
        <v>9.0668080381180825E-3</v>
      </c>
    </row>
    <row r="167" spans="1:11" x14ac:dyDescent="0.2">
      <c r="A167" s="7">
        <f t="shared" si="11"/>
        <v>1987</v>
      </c>
      <c r="B167" s="5">
        <v>10</v>
      </c>
      <c r="C167" s="3">
        <f t="shared" si="8"/>
        <v>-0.30134496968116897</v>
      </c>
      <c r="D167" s="3">
        <f t="shared" si="9"/>
        <v>-0.40345663528402809</v>
      </c>
      <c r="E167" s="3">
        <f>G167-K167</f>
        <v>-0.17765061919792316</v>
      </c>
      <c r="F167" s="3">
        <f t="shared" si="10"/>
        <v>-0.38636930919792317</v>
      </c>
      <c r="G167" s="3">
        <v>-0.16956825</v>
      </c>
      <c r="H167" s="3">
        <v>-0.37828694000000002</v>
      </c>
      <c r="I167" s="3">
        <v>-0.29326260048324582</v>
      </c>
      <c r="J167" s="3">
        <v>-0.39537426608610493</v>
      </c>
      <c r="K167" s="3">
        <v>8.082369197923156E-3</v>
      </c>
    </row>
    <row r="168" spans="1:11" x14ac:dyDescent="0.2">
      <c r="A168" s="7">
        <f t="shared" si="11"/>
        <v>1987</v>
      </c>
      <c r="B168" s="5">
        <v>11</v>
      </c>
      <c r="C168" s="3">
        <f t="shared" si="8"/>
        <v>-0.10060750037517836</v>
      </c>
      <c r="D168" s="3">
        <f t="shared" si="9"/>
        <v>5.0598789237867176E-3</v>
      </c>
      <c r="E168" s="3">
        <f>G168-K168</f>
        <v>-0.16373726513912279</v>
      </c>
      <c r="F168" s="3">
        <f t="shared" si="10"/>
        <v>6.6724748608771936E-3</v>
      </c>
      <c r="G168" s="3">
        <v>-0.15525686</v>
      </c>
      <c r="H168" s="3">
        <v>1.5152880000000001E-2</v>
      </c>
      <c r="I168" s="3">
        <v>-9.2127095236055556E-2</v>
      </c>
      <c r="J168" s="3">
        <v>1.3540284062909524E-2</v>
      </c>
      <c r="K168" s="3">
        <v>8.4804051391228069E-3</v>
      </c>
    </row>
    <row r="169" spans="1:11" x14ac:dyDescent="0.2">
      <c r="A169" s="7">
        <f t="shared" si="11"/>
        <v>1987</v>
      </c>
      <c r="B169" s="5">
        <v>12</v>
      </c>
      <c r="C169" s="3">
        <f t="shared" si="8"/>
        <v>-7.458735106011799E-2</v>
      </c>
      <c r="D169" s="3">
        <f t="shared" si="9"/>
        <v>-3.1180690350651127E-2</v>
      </c>
      <c r="E169" s="3">
        <f>G169-K169</f>
        <v>-3.7166421605474662E-2</v>
      </c>
      <c r="F169" s="3">
        <f t="shared" si="10"/>
        <v>-3.4608338605474659E-2</v>
      </c>
      <c r="G169" s="3">
        <v>-2.9387073999999999E-2</v>
      </c>
      <c r="H169" s="3">
        <v>-2.6828991E-2</v>
      </c>
      <c r="I169" s="3">
        <v>-6.6808003454643328E-2</v>
      </c>
      <c r="J169" s="3">
        <v>-2.3401342745176468E-2</v>
      </c>
      <c r="K169" s="3">
        <v>7.7793476054746598E-3</v>
      </c>
    </row>
    <row r="170" spans="1:11" x14ac:dyDescent="0.2">
      <c r="A170" s="7">
        <f t="shared" si="11"/>
        <v>1988</v>
      </c>
      <c r="B170" s="5">
        <v>1</v>
      </c>
      <c r="C170" s="3">
        <f t="shared" si="8"/>
        <v>-6.2185872846935879E-2</v>
      </c>
      <c r="D170" s="3">
        <f t="shared" si="9"/>
        <v>-4.8696290011608682E-2</v>
      </c>
      <c r="E170" s="3">
        <f>G170-K170</f>
        <v>1.0772152364086612E-2</v>
      </c>
      <c r="F170" s="3">
        <f t="shared" si="10"/>
        <v>-3.5013788635913388E-2</v>
      </c>
      <c r="G170" s="3">
        <v>1.8922574000000001E-2</v>
      </c>
      <c r="H170" s="3">
        <v>-2.6863366999999999E-2</v>
      </c>
      <c r="I170" s="3">
        <v>-5.4035451211022489E-2</v>
      </c>
      <c r="J170" s="3">
        <v>-4.0545868375695293E-2</v>
      </c>
      <c r="K170" s="3">
        <v>8.1504216359133894E-3</v>
      </c>
    </row>
    <row r="171" spans="1:11" x14ac:dyDescent="0.2">
      <c r="A171" s="7">
        <f t="shared" si="11"/>
        <v>1988</v>
      </c>
      <c r="B171" s="5">
        <v>2</v>
      </c>
      <c r="C171" s="3">
        <f t="shared" si="8"/>
        <v>-7.0426512433293273E-2</v>
      </c>
      <c r="D171" s="3">
        <f t="shared" si="9"/>
        <v>-2.8212320229010365E-2</v>
      </c>
      <c r="E171" s="3">
        <f>G171-K171</f>
        <v>-2.1640992872620876E-2</v>
      </c>
      <c r="F171" s="3">
        <f t="shared" si="10"/>
        <v>-2.1046003872620879E-2</v>
      </c>
      <c r="G171" s="3">
        <v>-1.3580761E-2</v>
      </c>
      <c r="H171" s="3">
        <v>-1.2985772E-2</v>
      </c>
      <c r="I171" s="3">
        <v>-6.2366280560672394E-2</v>
      </c>
      <c r="J171" s="3">
        <v>-2.0152088356389486E-2</v>
      </c>
      <c r="K171" s="3">
        <v>8.0602318726208776E-3</v>
      </c>
    </row>
    <row r="172" spans="1:11" x14ac:dyDescent="0.2">
      <c r="A172" s="7">
        <f t="shared" si="11"/>
        <v>1988</v>
      </c>
      <c r="B172" s="5">
        <v>3</v>
      </c>
      <c r="C172" s="3">
        <f t="shared" si="8"/>
        <v>7.2053642563892767E-2</v>
      </c>
      <c r="D172" s="3">
        <f t="shared" si="9"/>
        <v>0.11339569371454158</v>
      </c>
      <c r="E172" s="3">
        <f>G172-K172</f>
        <v>8.2487003459562974E-2</v>
      </c>
      <c r="F172" s="3">
        <f t="shared" si="10"/>
        <v>0.12198786945956297</v>
      </c>
      <c r="G172" s="3">
        <v>9.0566564000000002E-2</v>
      </c>
      <c r="H172" s="3">
        <v>0.13006743000000001</v>
      </c>
      <c r="I172" s="3">
        <v>8.0133203104329809E-2</v>
      </c>
      <c r="J172" s="3">
        <v>0.12147525425497863</v>
      </c>
      <c r="K172" s="3">
        <v>8.0795605404370349E-3</v>
      </c>
    </row>
    <row r="173" spans="1:11" x14ac:dyDescent="0.2">
      <c r="A173" s="7">
        <f t="shared" si="11"/>
        <v>1988</v>
      </c>
      <c r="B173" s="5">
        <v>4</v>
      </c>
      <c r="C173" s="3">
        <f t="shared" si="8"/>
        <v>-1.9582589451793229E-3</v>
      </c>
      <c r="D173" s="3">
        <f t="shared" si="9"/>
        <v>2.3116868850396537E-2</v>
      </c>
      <c r="E173" s="3">
        <f>G173-K173</f>
        <v>1.1172571137340605E-2</v>
      </c>
      <c r="F173" s="3">
        <f t="shared" si="10"/>
        <v>2.8188130137340603E-2</v>
      </c>
      <c r="G173" s="3">
        <v>1.9203278000000001E-2</v>
      </c>
      <c r="H173" s="3">
        <v>3.6218836999999997E-2</v>
      </c>
      <c r="I173" s="3">
        <v>6.0724479174800727E-3</v>
      </c>
      <c r="J173" s="3">
        <v>3.1147575713055931E-2</v>
      </c>
      <c r="K173" s="3">
        <v>8.0307068626593956E-3</v>
      </c>
    </row>
    <row r="174" spans="1:11" x14ac:dyDescent="0.2">
      <c r="A174" s="7">
        <f t="shared" si="11"/>
        <v>1988</v>
      </c>
      <c r="B174" s="5">
        <v>5</v>
      </c>
      <c r="C174" s="3">
        <f t="shared" si="8"/>
        <v>-3.7911123163968767E-3</v>
      </c>
      <c r="D174" s="3">
        <f t="shared" si="9"/>
        <v>3.6662050496904033E-2</v>
      </c>
      <c r="E174" s="3">
        <f>G174-K174</f>
        <v>-6.6144088272211644E-3</v>
      </c>
      <c r="F174" s="3">
        <f t="shared" si="10"/>
        <v>1.4633251372778835E-2</v>
      </c>
      <c r="G174" s="3">
        <v>2.8490837999999999E-3</v>
      </c>
      <c r="H174" s="3">
        <v>2.4096744E-2</v>
      </c>
      <c r="I174" s="3">
        <v>5.6723803108242876E-3</v>
      </c>
      <c r="J174" s="3">
        <v>4.6125543124125201E-2</v>
      </c>
      <c r="K174" s="3">
        <v>9.4634926272211643E-3</v>
      </c>
    </row>
    <row r="175" spans="1:11" x14ac:dyDescent="0.2">
      <c r="A175" s="7">
        <f t="shared" si="11"/>
        <v>1988</v>
      </c>
      <c r="B175" s="5">
        <v>6</v>
      </c>
      <c r="C175" s="3">
        <f t="shared" si="8"/>
        <v>2.1004473794803427E-2</v>
      </c>
      <c r="D175" s="3">
        <f t="shared" si="9"/>
        <v>-8.2514097910053475E-3</v>
      </c>
      <c r="E175" s="3">
        <f>G175-K175</f>
        <v>4.4293130371999508E-2</v>
      </c>
      <c r="F175" s="3">
        <f t="shared" si="10"/>
        <v>1.2398269719995064E-3</v>
      </c>
      <c r="G175" s="3">
        <v>5.2993117999999999E-2</v>
      </c>
      <c r="H175" s="3">
        <v>9.9398145999999993E-3</v>
      </c>
      <c r="I175" s="3">
        <v>2.9704461422803918E-2</v>
      </c>
      <c r="J175" s="3">
        <v>4.4857783699514542E-4</v>
      </c>
      <c r="K175" s="3">
        <v>8.6999876280004929E-3</v>
      </c>
    </row>
    <row r="176" spans="1:11" x14ac:dyDescent="0.2">
      <c r="A176" s="7">
        <f t="shared" si="11"/>
        <v>1988</v>
      </c>
      <c r="B176" s="5">
        <v>7</v>
      </c>
      <c r="C176" s="3">
        <f t="shared" si="8"/>
        <v>6.8656771493234264E-2</v>
      </c>
      <c r="D176" s="3">
        <f t="shared" si="9"/>
        <v>2.2136203231531565E-2</v>
      </c>
      <c r="E176" s="3">
        <f>G176-K176</f>
        <v>9.5473260822263845E-2</v>
      </c>
      <c r="F176" s="3">
        <f t="shared" si="10"/>
        <v>1.5844036822263839E-2</v>
      </c>
      <c r="G176" s="3">
        <v>0.10532405</v>
      </c>
      <c r="H176" s="3">
        <v>2.5694826E-2</v>
      </c>
      <c r="I176" s="3">
        <v>7.8507560670970422E-2</v>
      </c>
      <c r="J176" s="3">
        <v>3.1986992409267723E-2</v>
      </c>
      <c r="K176" s="3">
        <v>9.8507891777361595E-3</v>
      </c>
    </row>
    <row r="177" spans="1:11" x14ac:dyDescent="0.2">
      <c r="A177" s="7">
        <f t="shared" si="11"/>
        <v>1988</v>
      </c>
      <c r="B177" s="5">
        <v>8</v>
      </c>
      <c r="C177" s="3">
        <f t="shared" si="8"/>
        <v>-1.1561640478990378E-2</v>
      </c>
      <c r="D177" s="3">
        <f t="shared" si="9"/>
        <v>-3.6000626685551422E-2</v>
      </c>
      <c r="E177" s="3">
        <f>G177-K177</f>
        <v>3.5146954503781865E-2</v>
      </c>
      <c r="F177" s="3">
        <f t="shared" si="10"/>
        <v>-3.4968798496218131E-2</v>
      </c>
      <c r="G177" s="3">
        <v>4.4910326E-2</v>
      </c>
      <c r="H177" s="3">
        <v>-2.5205426999999999E-2</v>
      </c>
      <c r="I177" s="3">
        <v>-1.7982689827722442E-3</v>
      </c>
      <c r="J177" s="3">
        <v>-2.6237255189333286E-2</v>
      </c>
      <c r="K177" s="3">
        <v>9.7633714962181341E-3</v>
      </c>
    </row>
    <row r="178" spans="1:11" x14ac:dyDescent="0.2">
      <c r="A178" s="7">
        <f t="shared" si="11"/>
        <v>1988</v>
      </c>
      <c r="B178" s="5">
        <v>9</v>
      </c>
      <c r="C178" s="3">
        <f t="shared" si="8"/>
        <v>-4.7667953784906271E-2</v>
      </c>
      <c r="D178" s="3">
        <f t="shared" si="9"/>
        <v>-1.2206796901677678E-2</v>
      </c>
      <c r="E178" s="3">
        <f>G178-K178</f>
        <v>-3.0985494697031706E-2</v>
      </c>
      <c r="F178" s="3">
        <f t="shared" si="10"/>
        <v>-3.3373191697031707E-2</v>
      </c>
      <c r="G178" s="3">
        <v>-1.9921172000000001E-2</v>
      </c>
      <c r="H178" s="3">
        <v>-2.2308868999999999E-2</v>
      </c>
      <c r="I178" s="3">
        <v>-3.6603631087874566E-2</v>
      </c>
      <c r="J178" s="3">
        <v>-1.1424742046459713E-3</v>
      </c>
      <c r="K178" s="3">
        <v>1.1064322697031706E-2</v>
      </c>
    </row>
    <row r="179" spans="1:11" x14ac:dyDescent="0.2">
      <c r="A179" s="7">
        <f t="shared" si="11"/>
        <v>1988</v>
      </c>
      <c r="B179" s="5">
        <v>10</v>
      </c>
      <c r="C179" s="3">
        <f t="shared" si="8"/>
        <v>2.6834852580963249E-3</v>
      </c>
      <c r="D179" s="3">
        <f t="shared" si="9"/>
        <v>1.382118746405921E-2</v>
      </c>
      <c r="E179" s="3">
        <f>G179-K179</f>
        <v>-1.8180880393875141E-2</v>
      </c>
      <c r="F179" s="3">
        <f t="shared" si="10"/>
        <v>1.0748683406124858E-2</v>
      </c>
      <c r="G179" s="3">
        <v>-7.5242258000000001E-3</v>
      </c>
      <c r="H179" s="3">
        <v>2.1405337999999999E-2</v>
      </c>
      <c r="I179" s="3">
        <v>1.3340139851971466E-2</v>
      </c>
      <c r="J179" s="3">
        <v>2.4477842057934351E-2</v>
      </c>
      <c r="K179" s="3">
        <v>1.0656654593875142E-2</v>
      </c>
    </row>
    <row r="180" spans="1:11" x14ac:dyDescent="0.2">
      <c r="A180" s="7">
        <f t="shared" si="11"/>
        <v>1988</v>
      </c>
      <c r="B180" s="5">
        <v>11</v>
      </c>
      <c r="C180" s="3">
        <f t="shared" si="8"/>
        <v>-5.8248435836567733E-2</v>
      </c>
      <c r="D180" s="3">
        <f t="shared" si="9"/>
        <v>-7.7380106921527678E-2</v>
      </c>
      <c r="E180" s="3">
        <f>G180-K180</f>
        <v>-1.7660588003800465E-2</v>
      </c>
      <c r="F180" s="3">
        <f t="shared" si="10"/>
        <v>-7.8665893303800458E-2</v>
      </c>
      <c r="G180" s="3">
        <v>-5.8437417000000002E-3</v>
      </c>
      <c r="H180" s="3">
        <v>-6.6849046999999995E-2</v>
      </c>
      <c r="I180" s="3">
        <v>-4.643158953276727E-2</v>
      </c>
      <c r="J180" s="3">
        <v>-6.5563260617727215E-2</v>
      </c>
      <c r="K180" s="3">
        <v>1.1816846303800466E-2</v>
      </c>
    </row>
    <row r="181" spans="1:11" x14ac:dyDescent="0.2">
      <c r="A181" s="7">
        <f t="shared" si="11"/>
        <v>1988</v>
      </c>
      <c r="B181" s="5">
        <v>12</v>
      </c>
      <c r="C181" s="3">
        <f t="shared" si="8"/>
        <v>-8.0160949064469415E-3</v>
      </c>
      <c r="D181" s="3">
        <f t="shared" si="9"/>
        <v>1.2310012491383356E-3</v>
      </c>
      <c r="E181" s="3">
        <f>G181-K181</f>
        <v>-1.9733785172564022E-2</v>
      </c>
      <c r="F181" s="3">
        <f t="shared" si="10"/>
        <v>5.1722521274359789E-3</v>
      </c>
      <c r="G181" s="3">
        <v>-8.3916523E-3</v>
      </c>
      <c r="H181" s="3">
        <v>1.6514384999999999E-2</v>
      </c>
      <c r="I181" s="3">
        <v>3.3260379661170791E-3</v>
      </c>
      <c r="J181" s="3">
        <v>1.2573134121702356E-2</v>
      </c>
      <c r="K181" s="3">
        <v>1.1342132872564021E-2</v>
      </c>
    </row>
    <row r="182" spans="1:11" x14ac:dyDescent="0.2">
      <c r="A182" s="7">
        <f t="shared" si="11"/>
        <v>1989</v>
      </c>
      <c r="B182" s="5">
        <v>1</v>
      </c>
      <c r="C182" s="3">
        <f t="shared" si="8"/>
        <v>9.9595861342969445E-3</v>
      </c>
      <c r="D182" s="3">
        <f t="shared" si="9"/>
        <v>2.3731400567431633E-2</v>
      </c>
      <c r="E182" s="3">
        <f>G182-K182</f>
        <v>0.10732831208981074</v>
      </c>
      <c r="F182" s="3">
        <f t="shared" si="10"/>
        <v>2.5793852089810745E-2</v>
      </c>
      <c r="G182" s="3">
        <v>0.11959834</v>
      </c>
      <c r="H182" s="3">
        <v>3.8063880000000001E-2</v>
      </c>
      <c r="I182" s="3">
        <v>2.2229614044486201E-2</v>
      </c>
      <c r="J182" s="3">
        <v>3.6001428477620889E-2</v>
      </c>
      <c r="K182" s="3">
        <v>1.2270027910189257E-2</v>
      </c>
    </row>
    <row r="183" spans="1:11" x14ac:dyDescent="0.2">
      <c r="A183" s="7">
        <f t="shared" si="11"/>
        <v>1989</v>
      </c>
      <c r="B183" s="5">
        <v>2</v>
      </c>
      <c r="C183" s="3">
        <f t="shared" si="8"/>
        <v>-3.6890061199450576E-2</v>
      </c>
      <c r="D183" s="3">
        <f t="shared" si="9"/>
        <v>-3.1274963103041321E-2</v>
      </c>
      <c r="E183" s="3">
        <f>G183-K183</f>
        <v>-8.1793520306792482E-3</v>
      </c>
      <c r="F183" s="3">
        <f t="shared" si="10"/>
        <v>-4.3454070930679246E-2</v>
      </c>
      <c r="G183" s="3">
        <v>4.0827169E-3</v>
      </c>
      <c r="H183" s="3">
        <v>-3.1192002E-2</v>
      </c>
      <c r="I183" s="3">
        <v>-2.4627992268771326E-2</v>
      </c>
      <c r="J183" s="3">
        <v>-1.9012894172362071E-2</v>
      </c>
      <c r="K183" s="3">
        <v>1.2262068930679248E-2</v>
      </c>
    </row>
    <row r="184" spans="1:11" x14ac:dyDescent="0.2">
      <c r="A184" s="7">
        <f t="shared" si="11"/>
        <v>1989</v>
      </c>
      <c r="B184" s="5">
        <v>3</v>
      </c>
      <c r="C184" s="3">
        <f t="shared" si="8"/>
        <v>-3.9139764945262528E-2</v>
      </c>
      <c r="D184" s="3">
        <f t="shared" si="9"/>
        <v>-2.1494032709118788E-2</v>
      </c>
      <c r="E184" s="3">
        <f>G184-K184</f>
        <v>-1.8297243140270369E-2</v>
      </c>
      <c r="F184" s="3">
        <f t="shared" si="10"/>
        <v>-2.3047842240270365E-2</v>
      </c>
      <c r="G184" s="3">
        <v>-5.7488299000000003E-3</v>
      </c>
      <c r="H184" s="3">
        <v>-1.0499428999999999E-2</v>
      </c>
      <c r="I184" s="3">
        <v>-2.6591351704992161E-2</v>
      </c>
      <c r="J184" s="3">
        <v>-8.9456194688484203E-3</v>
      </c>
      <c r="K184" s="3">
        <v>1.2548413240270367E-2</v>
      </c>
    </row>
    <row r="185" spans="1:11" x14ac:dyDescent="0.2">
      <c r="A185" s="7">
        <f t="shared" si="11"/>
        <v>1989</v>
      </c>
      <c r="B185" s="5">
        <v>4</v>
      </c>
      <c r="C185" s="3">
        <f t="shared" si="8"/>
        <v>-1.8810626698922091E-2</v>
      </c>
      <c r="D185" s="3">
        <f t="shared" si="9"/>
        <v>2.8364260600922557E-2</v>
      </c>
      <c r="E185" s="3">
        <f>G185-K185</f>
        <v>-2.3341993224005327E-2</v>
      </c>
      <c r="F185" s="3">
        <f t="shared" si="10"/>
        <v>1.0099395775994675E-2</v>
      </c>
      <c r="G185" s="3">
        <v>-1.1150353E-2</v>
      </c>
      <c r="H185" s="3">
        <v>2.2291036E-2</v>
      </c>
      <c r="I185" s="3">
        <v>-6.6189864749167659E-3</v>
      </c>
      <c r="J185" s="3">
        <v>4.0555900824927882E-2</v>
      </c>
      <c r="K185" s="3">
        <v>1.2191640224005325E-2</v>
      </c>
    </row>
    <row r="186" spans="1:11" x14ac:dyDescent="0.2">
      <c r="A186" s="7">
        <f t="shared" si="11"/>
        <v>1989</v>
      </c>
      <c r="B186" s="5">
        <v>5</v>
      </c>
      <c r="C186" s="3">
        <f t="shared" si="8"/>
        <v>-3.6799484178806866E-2</v>
      </c>
      <c r="D186" s="3">
        <f t="shared" si="9"/>
        <v>1.4265583223185701E-2</v>
      </c>
      <c r="E186" s="3">
        <f>G186-K186</f>
        <v>6.282966924970286E-2</v>
      </c>
      <c r="F186" s="3">
        <f t="shared" si="10"/>
        <v>-9.5490332502971426E-3</v>
      </c>
      <c r="G186" s="3">
        <v>7.6617090999999998E-2</v>
      </c>
      <c r="H186" s="3">
        <v>4.2383884999999998E-3</v>
      </c>
      <c r="I186" s="3">
        <v>-2.3012062428509727E-2</v>
      </c>
      <c r="J186" s="3">
        <v>2.8053004973482842E-2</v>
      </c>
      <c r="K186" s="3">
        <v>1.3787421750297141E-2</v>
      </c>
    </row>
    <row r="187" spans="1:11" x14ac:dyDescent="0.2">
      <c r="A187" s="7">
        <f t="shared" si="11"/>
        <v>1989</v>
      </c>
      <c r="B187" s="5">
        <v>6</v>
      </c>
      <c r="C187" s="3">
        <f t="shared" si="8"/>
        <v>-6.3411697135980188E-2</v>
      </c>
      <c r="D187" s="3">
        <f t="shared" si="9"/>
        <v>-9.0077056458391161E-3</v>
      </c>
      <c r="E187" s="3">
        <f>G187-K187</f>
        <v>-5.1482936539637737E-2</v>
      </c>
      <c r="F187" s="3">
        <f t="shared" si="10"/>
        <v>-3.0508585539637735E-2</v>
      </c>
      <c r="G187" s="3">
        <v>-3.8589496000000001E-2</v>
      </c>
      <c r="H187" s="3">
        <v>-1.7615144999999999E-2</v>
      </c>
      <c r="I187" s="3">
        <v>-5.0518256596342459E-2</v>
      </c>
      <c r="J187" s="3">
        <v>3.8857348937986202E-3</v>
      </c>
      <c r="K187" s="3">
        <v>1.2893440539637736E-2</v>
      </c>
    </row>
    <row r="188" spans="1:11" x14ac:dyDescent="0.2">
      <c r="A188" s="7">
        <f t="shared" si="11"/>
        <v>1989</v>
      </c>
      <c r="B188" s="5">
        <v>7</v>
      </c>
      <c r="C188" s="3">
        <f t="shared" si="8"/>
        <v>8.5917216625032281E-2</v>
      </c>
      <c r="D188" s="3">
        <f t="shared" si="9"/>
        <v>7.0629888109820085E-2</v>
      </c>
      <c r="E188" s="3">
        <f>G188-K188</f>
        <v>0.21768198559722737</v>
      </c>
      <c r="F188" s="3">
        <f t="shared" si="10"/>
        <v>3.7547392597227371E-2</v>
      </c>
      <c r="G188" s="3">
        <v>0.23106813000000001</v>
      </c>
      <c r="H188" s="3">
        <v>5.0933537000000001E-2</v>
      </c>
      <c r="I188" s="3">
        <v>9.9303361027804904E-2</v>
      </c>
      <c r="J188" s="3">
        <v>8.4016032512592709E-2</v>
      </c>
      <c r="K188" s="3">
        <v>1.3386144402772629E-2</v>
      </c>
    </row>
    <row r="189" spans="1:11" x14ac:dyDescent="0.2">
      <c r="A189" s="7">
        <f t="shared" si="11"/>
        <v>1989</v>
      </c>
      <c r="B189" s="5">
        <v>8</v>
      </c>
      <c r="C189" s="3">
        <f t="shared" si="8"/>
        <v>0.12575575453559656</v>
      </c>
      <c r="D189" s="3">
        <f t="shared" si="9"/>
        <v>4.9799647138718164E-2</v>
      </c>
      <c r="E189" s="3">
        <f>G189-K189</f>
        <v>0.25625119912638578</v>
      </c>
      <c r="F189" s="3">
        <f t="shared" si="10"/>
        <v>5.6408749126385813E-2</v>
      </c>
      <c r="G189" s="3">
        <v>0.26900471999999997</v>
      </c>
      <c r="H189" s="3">
        <v>6.9162269999999998E-2</v>
      </c>
      <c r="I189" s="3">
        <v>0.13850927540921076</v>
      </c>
      <c r="J189" s="3">
        <v>6.255316801233235E-2</v>
      </c>
      <c r="K189" s="3">
        <v>1.2753520873614187E-2</v>
      </c>
    </row>
    <row r="190" spans="1:11" x14ac:dyDescent="0.2">
      <c r="A190" s="7">
        <f t="shared" si="11"/>
        <v>1989</v>
      </c>
      <c r="B190" s="5">
        <v>9</v>
      </c>
      <c r="C190" s="3">
        <f t="shared" si="8"/>
        <v>-9.4708237461045824E-3</v>
      </c>
      <c r="D190" s="3">
        <f t="shared" si="9"/>
        <v>-2.4259601260470387E-2</v>
      </c>
      <c r="E190" s="3">
        <f>G190-K190</f>
        <v>6.0296123446652514E-2</v>
      </c>
      <c r="F190" s="3">
        <f t="shared" si="10"/>
        <v>-2.3963544553347482E-2</v>
      </c>
      <c r="G190" s="3">
        <v>7.4202116999999998E-2</v>
      </c>
      <c r="H190" s="3">
        <v>-1.0057551E-2</v>
      </c>
      <c r="I190" s="3">
        <v>4.4351698072429002E-3</v>
      </c>
      <c r="J190" s="3">
        <v>-1.0353607707122903E-2</v>
      </c>
      <c r="K190" s="3">
        <v>1.3905993553347483E-2</v>
      </c>
    </row>
    <row r="191" spans="1:11" x14ac:dyDescent="0.2">
      <c r="A191" s="7">
        <f t="shared" si="11"/>
        <v>1989</v>
      </c>
      <c r="B191" s="5">
        <v>10</v>
      </c>
      <c r="C191" s="3">
        <f t="shared" si="8"/>
        <v>-4.6485707654318816E-2</v>
      </c>
      <c r="D191" s="3">
        <f t="shared" si="9"/>
        <v>-5.2468765476472619E-2</v>
      </c>
      <c r="E191" s="3">
        <f>G191-K191</f>
        <v>-2.456343477629741E-2</v>
      </c>
      <c r="F191" s="3">
        <f t="shared" si="10"/>
        <v>-6.0275865776297406E-2</v>
      </c>
      <c r="G191" s="3">
        <v>-1.1154188000000001E-2</v>
      </c>
      <c r="H191" s="3">
        <v>-4.6866618999999998E-2</v>
      </c>
      <c r="I191" s="3">
        <v>-3.3076460878021408E-2</v>
      </c>
      <c r="J191" s="3">
        <v>-3.9059518700175211E-2</v>
      </c>
      <c r="K191" s="3">
        <v>1.3409246776297408E-2</v>
      </c>
    </row>
    <row r="192" spans="1:11" x14ac:dyDescent="0.2">
      <c r="A192" s="7">
        <f t="shared" si="11"/>
        <v>1989</v>
      </c>
      <c r="B192" s="5">
        <v>11</v>
      </c>
      <c r="C192" s="3">
        <f t="shared" si="8"/>
        <v>-3.1351439462395103E-2</v>
      </c>
      <c r="D192" s="3">
        <f t="shared" si="9"/>
        <v>-1.2575309026272739E-2</v>
      </c>
      <c r="E192" s="3">
        <f>G192-K192</f>
        <v>-7.4463927228153818E-3</v>
      </c>
      <c r="F192" s="3">
        <f t="shared" si="10"/>
        <v>-3.2492702422815385E-2</v>
      </c>
      <c r="G192" s="3">
        <v>6.6002127000000001E-3</v>
      </c>
      <c r="H192" s="3">
        <v>-1.8446097000000002E-2</v>
      </c>
      <c r="I192" s="3">
        <v>-1.730483403957972E-2</v>
      </c>
      <c r="J192" s="3">
        <v>1.4712963965426429E-3</v>
      </c>
      <c r="K192" s="3">
        <v>1.4046605422815382E-2</v>
      </c>
    </row>
    <row r="193" spans="1:11" x14ac:dyDescent="0.2">
      <c r="A193" s="7">
        <f t="shared" si="11"/>
        <v>1989</v>
      </c>
      <c r="B193" s="5">
        <v>12</v>
      </c>
      <c r="C193" s="3">
        <f t="shared" si="8"/>
        <v>-4.637822295398801E-2</v>
      </c>
      <c r="D193" s="3">
        <f t="shared" si="9"/>
        <v>-3.1900985454202269E-3</v>
      </c>
      <c r="E193" s="3">
        <f>G193-K193</f>
        <v>2.7368662143467705E-3</v>
      </c>
      <c r="F193" s="3">
        <f t="shared" si="10"/>
        <v>-1.700738788565323E-2</v>
      </c>
      <c r="G193" s="3">
        <v>1.5532386E-2</v>
      </c>
      <c r="H193" s="3">
        <v>-4.2118681000000002E-3</v>
      </c>
      <c r="I193" s="3">
        <v>-3.3582703168334782E-2</v>
      </c>
      <c r="J193" s="3">
        <v>9.605421240233003E-3</v>
      </c>
      <c r="K193" s="3">
        <v>1.279551978565323E-2</v>
      </c>
    </row>
    <row r="194" spans="1:11" x14ac:dyDescent="0.2">
      <c r="A194" s="7">
        <f t="shared" si="11"/>
        <v>1990</v>
      </c>
      <c r="B194" s="5">
        <v>1</v>
      </c>
      <c r="C194" s="3">
        <f t="shared" si="8"/>
        <v>-1.4499019108683316E-2</v>
      </c>
      <c r="D194" s="3">
        <f t="shared" si="9"/>
        <v>5.6163404992135828E-3</v>
      </c>
      <c r="E194" s="3">
        <f>G194-K194</f>
        <v>0.15828642794269512</v>
      </c>
      <c r="F194" s="3">
        <f t="shared" si="10"/>
        <v>2.343473942695129E-3</v>
      </c>
      <c r="G194" s="3">
        <v>0.17110491999999999</v>
      </c>
      <c r="H194" s="3">
        <v>1.5161966000000001E-2</v>
      </c>
      <c r="I194" s="3">
        <v>-1.6805270513784443E-3</v>
      </c>
      <c r="J194" s="3">
        <v>1.8434832556518455E-2</v>
      </c>
      <c r="K194" s="3">
        <v>1.2818492057304872E-2</v>
      </c>
    </row>
    <row r="195" spans="1:11" x14ac:dyDescent="0.2">
      <c r="A195" s="7">
        <f t="shared" si="11"/>
        <v>1990</v>
      </c>
      <c r="B195" s="5">
        <v>2</v>
      </c>
      <c r="C195" s="3">
        <f t="shared" ref="C195:C258" si="12">I195-K195</f>
        <v>-6.5304052211306141E-2</v>
      </c>
      <c r="D195" s="3">
        <f t="shared" ref="D195:D258" si="13">J195-K195</f>
        <v>-6.6473326657218779E-2</v>
      </c>
      <c r="E195" s="3">
        <f>G195-K195</f>
        <v>-2.2680184440188572E-2</v>
      </c>
      <c r="F195" s="3">
        <f t="shared" ref="F195:F258" si="14">H195-K195</f>
        <v>-5.8278528440188569E-2</v>
      </c>
      <c r="G195" s="3">
        <v>-1.0622512000000001E-2</v>
      </c>
      <c r="H195" s="3">
        <v>-4.6220855999999998E-2</v>
      </c>
      <c r="I195" s="3">
        <v>-5.3246379771117569E-2</v>
      </c>
      <c r="J195" s="3">
        <v>-5.4415654217030207E-2</v>
      </c>
      <c r="K195" s="3">
        <v>1.2057672440188572E-2</v>
      </c>
    </row>
    <row r="196" spans="1:11" x14ac:dyDescent="0.2">
      <c r="A196" s="7">
        <f t="shared" si="11"/>
        <v>1990</v>
      </c>
      <c r="B196" s="5">
        <v>3</v>
      </c>
      <c r="C196" s="3">
        <f t="shared" si="12"/>
        <v>-3.123422927979427E-2</v>
      </c>
      <c r="D196" s="3">
        <f t="shared" si="13"/>
        <v>-1.4312848936436275E-2</v>
      </c>
      <c r="E196" s="3">
        <f>G196-K196</f>
        <v>0.13152923692035765</v>
      </c>
      <c r="F196" s="3">
        <f t="shared" si="14"/>
        <v>-3.3080087079642349E-2</v>
      </c>
      <c r="G196" s="3">
        <v>0.1438294</v>
      </c>
      <c r="H196" s="3">
        <v>-2.0779924000000002E-2</v>
      </c>
      <c r="I196" s="3">
        <v>-1.8934066200151922E-2</v>
      </c>
      <c r="J196" s="3">
        <v>-2.0126858567939276E-3</v>
      </c>
      <c r="K196" s="3">
        <v>1.2300163079642348E-2</v>
      </c>
    </row>
    <row r="197" spans="1:11" x14ac:dyDescent="0.2">
      <c r="A197" s="7">
        <f t="shared" si="11"/>
        <v>1990</v>
      </c>
      <c r="B197" s="5">
        <v>4</v>
      </c>
      <c r="C197" s="3">
        <f t="shared" si="12"/>
        <v>-5.1020395655663901E-2</v>
      </c>
      <c r="D197" s="3">
        <f t="shared" si="13"/>
        <v>-6.5653268010542776E-2</v>
      </c>
      <c r="E197" s="3">
        <f>G197-K197</f>
        <v>2.3534948978638254E-2</v>
      </c>
      <c r="F197" s="3">
        <f t="shared" si="14"/>
        <v>-5.044881402136174E-2</v>
      </c>
      <c r="G197" s="3">
        <v>3.4684822999999997E-2</v>
      </c>
      <c r="H197" s="3">
        <v>-3.9298939999999997E-2</v>
      </c>
      <c r="I197" s="3">
        <v>-3.9870521634302158E-2</v>
      </c>
      <c r="J197" s="3">
        <v>-5.4503393989181026E-2</v>
      </c>
      <c r="K197" s="3">
        <v>1.1149874021361745E-2</v>
      </c>
    </row>
    <row r="198" spans="1:11" x14ac:dyDescent="0.2">
      <c r="A198" s="7">
        <f t="shared" si="11"/>
        <v>1990</v>
      </c>
      <c r="B198" s="5">
        <v>5</v>
      </c>
      <c r="C198" s="3">
        <f t="shared" si="12"/>
        <v>-1.9785886755873595E-2</v>
      </c>
      <c r="D198" s="3">
        <f t="shared" si="13"/>
        <v>4.2827766205038774E-2</v>
      </c>
      <c r="E198" s="3">
        <f>G198-K198</f>
        <v>-3.1045537291735543E-2</v>
      </c>
      <c r="F198" s="3">
        <f t="shared" si="14"/>
        <v>2.4628558708264456E-2</v>
      </c>
      <c r="G198" s="3">
        <v>-1.9153010000000002E-2</v>
      </c>
      <c r="H198" s="3">
        <v>3.6521086000000001E-2</v>
      </c>
      <c r="I198" s="3">
        <v>-7.89335946413805E-3</v>
      </c>
      <c r="J198" s="3">
        <v>5.4720293496774319E-2</v>
      </c>
      <c r="K198" s="3">
        <v>1.1892527291735544E-2</v>
      </c>
    </row>
    <row r="199" spans="1:11" x14ac:dyDescent="0.2">
      <c r="A199" s="7">
        <f t="shared" si="11"/>
        <v>1990</v>
      </c>
      <c r="B199" s="5">
        <v>6</v>
      </c>
      <c r="C199" s="3">
        <f t="shared" si="12"/>
        <v>-5.4694798417117996E-2</v>
      </c>
      <c r="D199" s="3">
        <f t="shared" si="13"/>
        <v>-1.1372646457758375E-2</v>
      </c>
      <c r="E199" s="3">
        <f>G199-K199</f>
        <v>7.8868471210466945E-2</v>
      </c>
      <c r="F199" s="3">
        <f t="shared" si="14"/>
        <v>-2.5630556789533063E-2</v>
      </c>
      <c r="G199" s="3">
        <v>9.0053980000000006E-2</v>
      </c>
      <c r="H199" s="3">
        <v>-1.4445048E-2</v>
      </c>
      <c r="I199" s="3">
        <v>-4.3509289627584935E-2</v>
      </c>
      <c r="J199" s="3">
        <v>-1.871376682253123E-4</v>
      </c>
      <c r="K199" s="3">
        <v>1.1185508789533062E-2</v>
      </c>
    </row>
    <row r="200" spans="1:11" x14ac:dyDescent="0.2">
      <c r="A200" s="7">
        <f t="shared" si="11"/>
        <v>1990</v>
      </c>
      <c r="B200" s="5">
        <v>7</v>
      </c>
      <c r="C200" s="3">
        <f t="shared" si="12"/>
        <v>4.9826586756859498E-2</v>
      </c>
      <c r="D200" s="3">
        <f t="shared" si="13"/>
        <v>3.7767441996491097E-2</v>
      </c>
      <c r="E200" s="3">
        <f>G200-K200</f>
        <v>0.13380690133363396</v>
      </c>
      <c r="F200" s="3">
        <f t="shared" si="14"/>
        <v>1.7525031333633975E-2</v>
      </c>
      <c r="G200" s="3">
        <v>0.14557830999999999</v>
      </c>
      <c r="H200" s="3">
        <v>2.929644E-2</v>
      </c>
      <c r="I200" s="3">
        <v>6.1597995423225527E-2</v>
      </c>
      <c r="J200" s="3">
        <v>4.9538850662857126E-2</v>
      </c>
      <c r="K200" s="3">
        <v>1.1771408666366025E-2</v>
      </c>
    </row>
    <row r="201" spans="1:11" x14ac:dyDescent="0.2">
      <c r="A201" s="7">
        <f t="shared" si="11"/>
        <v>1990</v>
      </c>
      <c r="B201" s="5">
        <v>8</v>
      </c>
      <c r="C201" s="3">
        <f t="shared" si="12"/>
        <v>-7.6140494125298899E-4</v>
      </c>
      <c r="D201" s="3">
        <f t="shared" si="13"/>
        <v>-5.7948422228305319E-2</v>
      </c>
      <c r="E201" s="3">
        <f>G201-K201</f>
        <v>0.32850524077119186</v>
      </c>
      <c r="F201" s="3">
        <f t="shared" si="14"/>
        <v>-3.3409257228808116E-2</v>
      </c>
      <c r="G201" s="3">
        <v>0.33883155999999998</v>
      </c>
      <c r="H201" s="3">
        <v>-2.3082938000000001E-2</v>
      </c>
      <c r="I201" s="3">
        <v>9.5649142875551263E-3</v>
      </c>
      <c r="J201" s="3">
        <v>-4.7622102999497207E-2</v>
      </c>
      <c r="K201" s="3">
        <v>1.0326319228808115E-2</v>
      </c>
    </row>
    <row r="202" spans="1:11" x14ac:dyDescent="0.2">
      <c r="A202" s="7">
        <f t="shared" si="11"/>
        <v>1990</v>
      </c>
      <c r="B202" s="5">
        <v>9</v>
      </c>
      <c r="C202" s="3">
        <f t="shared" si="12"/>
        <v>-5.5253543703295806E-2</v>
      </c>
      <c r="D202" s="3">
        <f t="shared" si="13"/>
        <v>-9.5666995787057826E-2</v>
      </c>
      <c r="E202" s="3">
        <f>G202-K202</f>
        <v>-4.9306598739380779E-2</v>
      </c>
      <c r="F202" s="3">
        <f t="shared" si="14"/>
        <v>-6.4686600739380776E-2</v>
      </c>
      <c r="G202" s="3">
        <v>-3.8486801000000001E-2</v>
      </c>
      <c r="H202" s="3">
        <v>-5.3866802999999998E-2</v>
      </c>
      <c r="I202" s="3">
        <v>-4.4433745963915028E-2</v>
      </c>
      <c r="J202" s="3">
        <v>-8.4847198047677042E-2</v>
      </c>
      <c r="K202" s="3">
        <v>1.081979773938078E-2</v>
      </c>
    </row>
    <row r="203" spans="1:11" x14ac:dyDescent="0.2">
      <c r="A203" s="7">
        <f t="shared" si="11"/>
        <v>1990</v>
      </c>
      <c r="B203" s="5">
        <v>10</v>
      </c>
      <c r="C203" s="3">
        <f t="shared" si="12"/>
        <v>-5.3867154791148467E-2</v>
      </c>
      <c r="D203" s="3">
        <f t="shared" si="13"/>
        <v>-4.1155180612171618E-2</v>
      </c>
      <c r="E203" s="3">
        <f>G203-K203</f>
        <v>-8.719047743673157E-2</v>
      </c>
      <c r="F203" s="3">
        <f t="shared" si="14"/>
        <v>-6.0787246436731571E-2</v>
      </c>
      <c r="G203" s="3">
        <v>-7.7506782999999996E-2</v>
      </c>
      <c r="H203" s="3">
        <v>-5.1103551999999997E-2</v>
      </c>
      <c r="I203" s="3">
        <v>-4.4183460354416892E-2</v>
      </c>
      <c r="J203" s="3">
        <v>-3.1471486175440044E-2</v>
      </c>
      <c r="K203" s="3">
        <v>9.6836944367315742E-3</v>
      </c>
    </row>
    <row r="204" spans="1:11" x14ac:dyDescent="0.2">
      <c r="A204" s="7">
        <f t="shared" si="11"/>
        <v>1990</v>
      </c>
      <c r="B204" s="5">
        <v>11</v>
      </c>
      <c r="C204" s="3">
        <f t="shared" si="12"/>
        <v>-1.6469437227218071E-2</v>
      </c>
      <c r="D204" s="3">
        <f t="shared" si="13"/>
        <v>-6.8614123404886658E-3</v>
      </c>
      <c r="E204" s="3">
        <f>G204-K204</f>
        <v>0.13552299162131362</v>
      </c>
      <c r="F204" s="3">
        <f t="shared" si="14"/>
        <v>-4.0755577378686354E-2</v>
      </c>
      <c r="G204" s="3">
        <v>0.14551281999999999</v>
      </c>
      <c r="H204" s="3">
        <v>-3.0765748999999998E-2</v>
      </c>
      <c r="I204" s="3">
        <v>-6.4796088485317149E-3</v>
      </c>
      <c r="J204" s="3">
        <v>3.12841603819769E-3</v>
      </c>
      <c r="K204" s="3">
        <v>9.9898283786863558E-3</v>
      </c>
    </row>
    <row r="205" spans="1:11" x14ac:dyDescent="0.2">
      <c r="A205" s="7">
        <f t="shared" si="11"/>
        <v>1990</v>
      </c>
      <c r="B205" s="5">
        <v>12</v>
      </c>
      <c r="C205" s="3">
        <f t="shared" si="12"/>
        <v>-3.9095466384162392E-2</v>
      </c>
      <c r="D205" s="3">
        <f t="shared" si="13"/>
        <v>-2.9143584256558386E-2</v>
      </c>
      <c r="E205" s="3">
        <f>G205-K205</f>
        <v>-7.4216448829820467E-2</v>
      </c>
      <c r="F205" s="3">
        <f t="shared" si="14"/>
        <v>-3.9470532829820472E-2</v>
      </c>
      <c r="G205" s="3">
        <v>-6.5128967999999995E-2</v>
      </c>
      <c r="H205" s="3">
        <v>-3.0383052000000001E-2</v>
      </c>
      <c r="I205" s="3">
        <v>-3.000798555434192E-2</v>
      </c>
      <c r="J205" s="3">
        <v>-2.0056103426737915E-2</v>
      </c>
      <c r="K205" s="3">
        <v>9.0874808298204712E-3</v>
      </c>
    </row>
    <row r="206" spans="1:11" x14ac:dyDescent="0.2">
      <c r="A206" s="7">
        <f t="shared" si="11"/>
        <v>1991</v>
      </c>
      <c r="B206" s="5">
        <v>1</v>
      </c>
      <c r="C206" s="3">
        <f t="shared" si="12"/>
        <v>-2.4289938433976904E-2</v>
      </c>
      <c r="D206" s="3">
        <f t="shared" si="13"/>
        <v>2.3113006232174344E-2</v>
      </c>
      <c r="E206" s="3">
        <f>G206-K206</f>
        <v>0.16027170971721239</v>
      </c>
      <c r="F206" s="3">
        <f t="shared" si="14"/>
        <v>3.9499987172123621E-3</v>
      </c>
      <c r="G206" s="3">
        <v>0.16985931000000001</v>
      </c>
      <c r="H206" s="3">
        <v>1.3537599000000001E-2</v>
      </c>
      <c r="I206" s="3">
        <v>-1.4702338151189265E-2</v>
      </c>
      <c r="J206" s="3">
        <v>3.2700606514961983E-2</v>
      </c>
      <c r="K206" s="3">
        <v>9.5876002827876387E-3</v>
      </c>
    </row>
    <row r="207" spans="1:11" x14ac:dyDescent="0.2">
      <c r="A207" s="7">
        <f t="shared" ref="A207:A270" si="15">IF(B207=1,A206+1,A206)</f>
        <v>1991</v>
      </c>
      <c r="B207" s="5">
        <v>2</v>
      </c>
      <c r="C207" s="3">
        <f t="shared" si="12"/>
        <v>8.6475771775093177E-2</v>
      </c>
      <c r="D207" s="3">
        <f t="shared" si="13"/>
        <v>6.5548378778280833E-2</v>
      </c>
      <c r="E207" s="3">
        <f>G207-K207</f>
        <v>0.92238255022860605</v>
      </c>
      <c r="F207" s="3">
        <f t="shared" si="14"/>
        <v>4.8080857228606083E-2</v>
      </c>
      <c r="G207" s="3">
        <v>0.93122895999999999</v>
      </c>
      <c r="H207" s="3">
        <v>5.6927266999999997E-2</v>
      </c>
      <c r="I207" s="3">
        <v>9.5322181546487084E-2</v>
      </c>
      <c r="J207" s="3">
        <v>7.439478854967474E-2</v>
      </c>
      <c r="K207" s="3">
        <v>8.8464097713939101E-3</v>
      </c>
    </row>
    <row r="208" spans="1:11" x14ac:dyDescent="0.2">
      <c r="A208" s="7">
        <f t="shared" si="15"/>
        <v>1991</v>
      </c>
      <c r="B208" s="5">
        <v>3</v>
      </c>
      <c r="C208" s="3">
        <f t="shared" si="12"/>
        <v>6.0649350476728953E-2</v>
      </c>
      <c r="D208" s="3">
        <f t="shared" si="13"/>
        <v>2.352680720870318E-2</v>
      </c>
      <c r="E208" s="3">
        <f>G208-K208</f>
        <v>0.3814831681817531</v>
      </c>
      <c r="F208" s="3">
        <f t="shared" si="14"/>
        <v>2.3334310181753051E-2</v>
      </c>
      <c r="G208" s="3">
        <v>0.39076797000000002</v>
      </c>
      <c r="H208" s="3">
        <v>3.2619111999999999E-2</v>
      </c>
      <c r="I208" s="3">
        <v>6.9934152294975904E-2</v>
      </c>
      <c r="J208" s="3">
        <v>3.2811609026950128E-2</v>
      </c>
      <c r="K208" s="3">
        <v>9.2848018182469481E-3</v>
      </c>
    </row>
    <row r="209" spans="1:11" x14ac:dyDescent="0.2">
      <c r="A209" s="7">
        <f t="shared" si="15"/>
        <v>1991</v>
      </c>
      <c r="B209" s="5">
        <v>4</v>
      </c>
      <c r="C209" s="3">
        <f t="shared" si="12"/>
        <v>6.3834353619854206E-2</v>
      </c>
      <c r="D209" s="3">
        <f t="shared" si="13"/>
        <v>4.8333082796759817E-2</v>
      </c>
      <c r="E209" s="3">
        <f>G209-K209</f>
        <v>0.16386114212170461</v>
      </c>
      <c r="F209" s="3">
        <f t="shared" si="14"/>
        <v>3.9498090121704604E-2</v>
      </c>
      <c r="G209" s="3">
        <v>0.17237042</v>
      </c>
      <c r="H209" s="3">
        <v>4.8007368000000002E-2</v>
      </c>
      <c r="I209" s="3">
        <v>7.2343631498149596E-2</v>
      </c>
      <c r="J209" s="3">
        <v>5.6842360675055215E-2</v>
      </c>
      <c r="K209" s="3">
        <v>8.5092778782953956E-3</v>
      </c>
    </row>
    <row r="210" spans="1:11" x14ac:dyDescent="0.2">
      <c r="A210" s="7">
        <f t="shared" si="15"/>
        <v>1991</v>
      </c>
      <c r="B210" s="5">
        <v>5</v>
      </c>
      <c r="C210" s="3">
        <f t="shared" si="12"/>
        <v>2.7362379994203663E-2</v>
      </c>
      <c r="D210" s="3">
        <f t="shared" si="13"/>
        <v>-1.7226520798972238E-2</v>
      </c>
      <c r="E210" s="3">
        <f>G210-K210</f>
        <v>0.27284834067861019</v>
      </c>
      <c r="F210" s="3">
        <f t="shared" si="14"/>
        <v>-2.490839732138983E-2</v>
      </c>
      <c r="G210" s="3">
        <v>0.28119532000000003</v>
      </c>
      <c r="H210" s="3">
        <v>-1.6561418000000001E-2</v>
      </c>
      <c r="I210" s="3">
        <v>3.5709359315593492E-2</v>
      </c>
      <c r="J210" s="3">
        <v>-8.8795414775824089E-3</v>
      </c>
      <c r="K210" s="3">
        <v>8.3469793213898271E-3</v>
      </c>
    </row>
    <row r="211" spans="1:11" x14ac:dyDescent="0.2">
      <c r="A211" s="7">
        <f t="shared" si="15"/>
        <v>1991</v>
      </c>
      <c r="B211" s="5">
        <v>6</v>
      </c>
      <c r="C211" s="3">
        <f t="shared" si="12"/>
        <v>2.0384126962678786E-2</v>
      </c>
      <c r="D211" s="3">
        <f t="shared" si="13"/>
        <v>-2.1882641836900238E-2</v>
      </c>
      <c r="E211" s="3">
        <f>G211-K211</f>
        <v>0.33616061319447926</v>
      </c>
      <c r="F211" s="3">
        <f t="shared" si="14"/>
        <v>-1.7820285805520714E-2</v>
      </c>
      <c r="G211" s="3">
        <v>0.34397696999999999</v>
      </c>
      <c r="H211" s="3">
        <v>-1.0003929E-2</v>
      </c>
      <c r="I211" s="3">
        <v>2.8200483768199502E-2</v>
      </c>
      <c r="J211" s="3">
        <v>-1.4066285031379522E-2</v>
      </c>
      <c r="K211" s="3">
        <v>7.8163568055207144E-3</v>
      </c>
    </row>
    <row r="212" spans="1:11" x14ac:dyDescent="0.2">
      <c r="A212" s="7">
        <f t="shared" si="15"/>
        <v>1991</v>
      </c>
      <c r="B212" s="5">
        <v>7</v>
      </c>
      <c r="C212" s="3">
        <f t="shared" si="12"/>
        <v>0.17269329114146117</v>
      </c>
      <c r="D212" s="3">
        <f t="shared" si="13"/>
        <v>3.2239880058210456E-2</v>
      </c>
      <c r="E212" s="3">
        <f>G212-K212</f>
        <v>0.66458370067678685</v>
      </c>
      <c r="F212" s="3">
        <f t="shared" si="14"/>
        <v>3.3028033676786916E-2</v>
      </c>
      <c r="G212" s="3">
        <v>0.67271837999999995</v>
      </c>
      <c r="H212" s="3">
        <v>4.1162712999999997E-2</v>
      </c>
      <c r="I212" s="3">
        <v>0.18082797046467425</v>
      </c>
      <c r="J212" s="3">
        <v>4.0374559381423536E-2</v>
      </c>
      <c r="K212" s="3">
        <v>8.1346793232130819E-3</v>
      </c>
    </row>
    <row r="213" spans="1:11" x14ac:dyDescent="0.2">
      <c r="A213" s="7">
        <f t="shared" si="15"/>
        <v>1991</v>
      </c>
      <c r="B213" s="5">
        <v>8</v>
      </c>
      <c r="C213" s="3">
        <f t="shared" si="12"/>
        <v>2.204693288608903E-2</v>
      </c>
      <c r="D213" s="3">
        <f t="shared" si="13"/>
        <v>-2.9065888829500477E-2</v>
      </c>
      <c r="E213" s="3">
        <f>G213-K213</f>
        <v>0.17455967380190834</v>
      </c>
      <c r="F213" s="3">
        <f t="shared" si="14"/>
        <v>-2.4281157198091655E-2</v>
      </c>
      <c r="G213" s="3">
        <v>0.18236863</v>
      </c>
      <c r="H213" s="3">
        <v>-1.6472200999999999E-2</v>
      </c>
      <c r="I213" s="3">
        <v>2.9855889084180687E-2</v>
      </c>
      <c r="J213" s="3">
        <v>-2.125693263140882E-2</v>
      </c>
      <c r="K213" s="3">
        <v>7.8089561980916565E-3</v>
      </c>
    </row>
    <row r="214" spans="1:11" x14ac:dyDescent="0.2">
      <c r="A214" s="7">
        <f t="shared" si="15"/>
        <v>1991</v>
      </c>
      <c r="B214" s="5">
        <v>9</v>
      </c>
      <c r="C214" s="3">
        <f t="shared" si="12"/>
        <v>3.4182468919488708E-2</v>
      </c>
      <c r="D214" s="3">
        <f t="shared" si="13"/>
        <v>9.411637854386902E-3</v>
      </c>
      <c r="E214" s="3">
        <f>G214-K214</f>
        <v>7.7823040643579075E-2</v>
      </c>
      <c r="F214" s="3">
        <f t="shared" si="14"/>
        <v>1.1954696643579069E-2</v>
      </c>
      <c r="G214" s="3">
        <v>8.5610723E-2</v>
      </c>
      <c r="H214" s="3">
        <v>1.9742379000000001E-2</v>
      </c>
      <c r="I214" s="3">
        <v>4.197015127590964E-2</v>
      </c>
      <c r="J214" s="3">
        <v>1.7199320210807834E-2</v>
      </c>
      <c r="K214" s="3">
        <v>7.7876823564209307E-3</v>
      </c>
    </row>
    <row r="215" spans="1:11" x14ac:dyDescent="0.2">
      <c r="A215" s="7">
        <f t="shared" si="15"/>
        <v>1991</v>
      </c>
      <c r="B215" s="5">
        <v>10</v>
      </c>
      <c r="C215" s="3">
        <f t="shared" si="12"/>
        <v>0.1190004204307657</v>
      </c>
      <c r="D215" s="3">
        <f t="shared" si="13"/>
        <v>6.4325189159435803E-2</v>
      </c>
      <c r="E215" s="3">
        <f>G215-K215</f>
        <v>0.14239778143501661</v>
      </c>
      <c r="F215" s="3">
        <f t="shared" si="14"/>
        <v>6.6672837435016605E-2</v>
      </c>
      <c r="G215" s="3">
        <v>0.14901463000000001</v>
      </c>
      <c r="H215" s="3">
        <v>7.3289686000000007E-2</v>
      </c>
      <c r="I215" s="3">
        <v>0.1256172689957491</v>
      </c>
      <c r="J215" s="3">
        <v>7.0942037724419205E-2</v>
      </c>
      <c r="K215" s="3">
        <v>6.6168485649834036E-3</v>
      </c>
    </row>
    <row r="216" spans="1:11" x14ac:dyDescent="0.2">
      <c r="A216" s="7">
        <f t="shared" si="15"/>
        <v>1991</v>
      </c>
      <c r="B216" s="5">
        <v>11</v>
      </c>
      <c r="C216" s="3">
        <f t="shared" si="12"/>
        <v>5.8671321372879198E-2</v>
      </c>
      <c r="D216" s="3">
        <f t="shared" si="13"/>
        <v>-4.2365324292870127E-2</v>
      </c>
      <c r="E216" s="3">
        <f>G216-K216</f>
        <v>0.15556436967528023</v>
      </c>
      <c r="F216" s="3">
        <f t="shared" si="14"/>
        <v>-2.5157059324719774E-2</v>
      </c>
      <c r="G216" s="3">
        <v>0.16232730000000001</v>
      </c>
      <c r="H216" s="3">
        <v>-1.8394128999999999E-2</v>
      </c>
      <c r="I216" s="3">
        <v>6.5434251697598977E-2</v>
      </c>
      <c r="J216" s="3">
        <v>-3.5602393968150348E-2</v>
      </c>
      <c r="K216" s="3">
        <v>6.7629303247197757E-3</v>
      </c>
    </row>
    <row r="217" spans="1:11" x14ac:dyDescent="0.2">
      <c r="A217" s="7">
        <f t="shared" si="15"/>
        <v>1991</v>
      </c>
      <c r="B217" s="5">
        <v>12</v>
      </c>
      <c r="C217" s="3">
        <f t="shared" si="12"/>
        <v>2.922783169799441E-3</v>
      </c>
      <c r="D217" s="3">
        <f t="shared" si="13"/>
        <v>2.2918850723820387E-2</v>
      </c>
      <c r="E217" s="3">
        <f>G217-K217</f>
        <v>3.6319078936974995E-2</v>
      </c>
      <c r="F217" s="3">
        <f t="shared" si="14"/>
        <v>1.2907560936974989E-2</v>
      </c>
      <c r="G217" s="3">
        <v>4.2084253000000002E-2</v>
      </c>
      <c r="H217" s="3">
        <v>1.8672734999999999E-2</v>
      </c>
      <c r="I217" s="3">
        <v>8.6879572328244503E-3</v>
      </c>
      <c r="J217" s="3">
        <v>2.8684024786845397E-2</v>
      </c>
      <c r="K217" s="3">
        <v>5.7651740630250093E-3</v>
      </c>
    </row>
    <row r="218" spans="1:11" x14ac:dyDescent="0.2">
      <c r="A218" s="7">
        <f t="shared" si="15"/>
        <v>1992</v>
      </c>
      <c r="B218" s="5">
        <v>1</v>
      </c>
      <c r="C218" s="3">
        <f t="shared" si="12"/>
        <v>4.8216421774558968E-2</v>
      </c>
      <c r="D218" s="3">
        <f t="shared" si="13"/>
        <v>-2.2571768154689992E-4</v>
      </c>
      <c r="E218" s="3">
        <f>G218-K218</f>
        <v>0.54371182340497959</v>
      </c>
      <c r="F218" s="3">
        <f t="shared" si="14"/>
        <v>-6.9783179650204693E-3</v>
      </c>
      <c r="G218" s="3">
        <v>0.54993809000000005</v>
      </c>
      <c r="H218" s="3">
        <v>-7.5205137000000004E-4</v>
      </c>
      <c r="I218" s="3">
        <v>5.4442688369579439E-2</v>
      </c>
      <c r="J218" s="3">
        <v>6.000548913473569E-3</v>
      </c>
      <c r="K218" s="3">
        <v>6.2262665950204689E-3</v>
      </c>
    </row>
    <row r="219" spans="1:11" x14ac:dyDescent="0.2">
      <c r="A219" s="7">
        <f t="shared" si="15"/>
        <v>1992</v>
      </c>
      <c r="B219" s="5">
        <v>2</v>
      </c>
      <c r="C219" s="3">
        <f t="shared" si="12"/>
        <v>5.6307431113109832E-2</v>
      </c>
      <c r="D219" s="3">
        <f t="shared" si="13"/>
        <v>6.6832882842876168E-3</v>
      </c>
      <c r="E219" s="3">
        <f>G219-K219</f>
        <v>0.31461269819047033</v>
      </c>
      <c r="F219" s="3">
        <f t="shared" si="14"/>
        <v>-1.0087773109529654E-2</v>
      </c>
      <c r="G219" s="3">
        <v>0.32040816</v>
      </c>
      <c r="H219" s="3">
        <v>-4.2923112999999997E-3</v>
      </c>
      <c r="I219" s="3">
        <v>6.2102892922639485E-2</v>
      </c>
      <c r="J219" s="3">
        <v>1.247875009381727E-2</v>
      </c>
      <c r="K219" s="3">
        <v>5.7954618095296534E-3</v>
      </c>
    </row>
    <row r="220" spans="1:11" x14ac:dyDescent="0.2">
      <c r="A220" s="7">
        <f t="shared" si="15"/>
        <v>1992</v>
      </c>
      <c r="B220" s="5">
        <v>3</v>
      </c>
      <c r="C220" s="3">
        <f t="shared" si="12"/>
        <v>-2.9604144493565855E-3</v>
      </c>
      <c r="D220" s="3">
        <f t="shared" si="13"/>
        <v>-2.3970823948037744E-2</v>
      </c>
      <c r="E220" s="3">
        <f>G220-K220</f>
        <v>0.16849115535196099</v>
      </c>
      <c r="F220" s="3">
        <f t="shared" si="14"/>
        <v>-3.1423383648039031E-2</v>
      </c>
      <c r="G220" s="3">
        <v>0.17458881000000001</v>
      </c>
      <c r="H220" s="3">
        <v>-2.5325729000000002E-2</v>
      </c>
      <c r="I220" s="3">
        <v>3.137240198682445E-3</v>
      </c>
      <c r="J220" s="3">
        <v>-1.7873169299998715E-2</v>
      </c>
      <c r="K220" s="3">
        <v>6.0976546480390305E-3</v>
      </c>
    </row>
    <row r="221" spans="1:11" x14ac:dyDescent="0.2">
      <c r="A221" s="7">
        <f t="shared" si="15"/>
        <v>1992</v>
      </c>
      <c r="B221" s="5">
        <v>4</v>
      </c>
      <c r="C221" s="3">
        <f t="shared" si="12"/>
        <v>-1.206020435257512E-2</v>
      </c>
      <c r="D221" s="3">
        <f t="shared" si="13"/>
        <v>1.6598803986766199E-2</v>
      </c>
      <c r="E221" s="3">
        <f>G221-K221</f>
        <v>0.11012252884504153</v>
      </c>
      <c r="F221" s="3">
        <f t="shared" si="14"/>
        <v>2.9561100845041544E-2</v>
      </c>
      <c r="G221" s="3">
        <v>0.11527214</v>
      </c>
      <c r="H221" s="3">
        <v>3.4710711999999998E-2</v>
      </c>
      <c r="I221" s="3">
        <v>-6.9105931976166657E-3</v>
      </c>
      <c r="J221" s="3">
        <v>2.1748415141724653E-2</v>
      </c>
      <c r="K221" s="3">
        <v>5.149611154958455E-3</v>
      </c>
    </row>
    <row r="222" spans="1:11" x14ac:dyDescent="0.2">
      <c r="A222" s="7">
        <f t="shared" si="15"/>
        <v>1992</v>
      </c>
      <c r="B222" s="5">
        <v>5</v>
      </c>
      <c r="C222" s="3">
        <f t="shared" si="12"/>
        <v>2.0883617888720073E-2</v>
      </c>
      <c r="D222" s="3">
        <f t="shared" si="13"/>
        <v>1.0433747456795827E-2</v>
      </c>
      <c r="E222" s="3">
        <f>G222-K222</f>
        <v>0.13163787763231766</v>
      </c>
      <c r="F222" s="3">
        <f t="shared" si="14"/>
        <v>1.6154253632317664E-2</v>
      </c>
      <c r="G222" s="3">
        <v>0.13696015</v>
      </c>
      <c r="H222" s="3">
        <v>2.1476525999999999E-2</v>
      </c>
      <c r="I222" s="3">
        <v>2.6205890256402409E-2</v>
      </c>
      <c r="J222" s="3">
        <v>1.5756019824478162E-2</v>
      </c>
      <c r="K222" s="3">
        <v>5.3222723676823345E-3</v>
      </c>
    </row>
    <row r="223" spans="1:11" x14ac:dyDescent="0.2">
      <c r="A223" s="7">
        <f t="shared" si="15"/>
        <v>1992</v>
      </c>
      <c r="B223" s="5">
        <v>6</v>
      </c>
      <c r="C223" s="3">
        <f t="shared" si="12"/>
        <v>-3.6670090005332327E-2</v>
      </c>
      <c r="D223" s="3">
        <f t="shared" si="13"/>
        <v>-5.9801565961763933E-3</v>
      </c>
      <c r="E223" s="3">
        <f>G223-K223</f>
        <v>-1.3230908176266865E-2</v>
      </c>
      <c r="F223" s="3">
        <f t="shared" si="14"/>
        <v>-1.3540249762668652E-3</v>
      </c>
      <c r="G223" s="3">
        <v>-8.3792103999999999E-3</v>
      </c>
      <c r="H223" s="3">
        <v>3.4976728000000001E-3</v>
      </c>
      <c r="I223" s="3">
        <v>-3.1818392229065462E-2</v>
      </c>
      <c r="J223" s="3">
        <v>-1.128458819909528E-3</v>
      </c>
      <c r="K223" s="3">
        <v>4.8516977762668653E-3</v>
      </c>
    </row>
    <row r="224" spans="1:11" x14ac:dyDescent="0.2">
      <c r="A224" s="7">
        <f t="shared" si="15"/>
        <v>1992</v>
      </c>
      <c r="B224" s="5">
        <v>7</v>
      </c>
      <c r="C224" s="3">
        <f t="shared" si="12"/>
        <v>4.3899796679772472E-2</v>
      </c>
      <c r="D224" s="3">
        <f t="shared" si="13"/>
        <v>-1.3813699921044344E-2</v>
      </c>
      <c r="E224" s="3">
        <f>G224-K224</f>
        <v>2.407240150749294E-2</v>
      </c>
      <c r="F224" s="3">
        <f t="shared" si="14"/>
        <v>-2.4298759925070598E-3</v>
      </c>
      <c r="G224" s="3">
        <v>2.8498289999999999E-2</v>
      </c>
      <c r="H224" s="3">
        <v>1.9960124999999999E-3</v>
      </c>
      <c r="I224" s="3">
        <v>4.8325685172279531E-2</v>
      </c>
      <c r="J224" s="3">
        <v>-9.3878114285372849E-3</v>
      </c>
      <c r="K224" s="3">
        <v>4.4258884925070597E-3</v>
      </c>
    </row>
    <row r="225" spans="1:11" x14ac:dyDescent="0.2">
      <c r="A225" s="7">
        <f t="shared" si="15"/>
        <v>1992</v>
      </c>
      <c r="B225" s="5">
        <v>8</v>
      </c>
      <c r="C225" s="3">
        <f t="shared" si="12"/>
        <v>-2.9427603985335869E-2</v>
      </c>
      <c r="D225" s="3">
        <f t="shared" si="13"/>
        <v>-4.1627171020785642E-2</v>
      </c>
      <c r="E225" s="3">
        <f>G225-K225</f>
        <v>6.2334499442748215E-2</v>
      </c>
      <c r="F225" s="3">
        <f t="shared" si="14"/>
        <v>-3.4538753557251778E-2</v>
      </c>
      <c r="G225" s="3">
        <v>6.6887278999999994E-2</v>
      </c>
      <c r="H225" s="3">
        <v>-2.9985973999999999E-2</v>
      </c>
      <c r="I225" s="3">
        <v>-2.4874824428084086E-2</v>
      </c>
      <c r="J225" s="3">
        <v>-3.7074391463533862E-2</v>
      </c>
      <c r="K225" s="3">
        <v>4.5527795572517828E-3</v>
      </c>
    </row>
    <row r="226" spans="1:11" x14ac:dyDescent="0.2">
      <c r="A226" s="7">
        <f t="shared" si="15"/>
        <v>1992</v>
      </c>
      <c r="B226" s="5">
        <v>9</v>
      </c>
      <c r="C226" s="3">
        <f t="shared" si="12"/>
        <v>1.4209552965764807E-2</v>
      </c>
      <c r="D226" s="3">
        <f t="shared" si="13"/>
        <v>-2.6181701365353756E-2</v>
      </c>
      <c r="E226" s="3">
        <f>G226-K226</f>
        <v>0.21735231429804858</v>
      </c>
      <c r="F226" s="3">
        <f t="shared" si="14"/>
        <v>-2.2173200701951425E-2</v>
      </c>
      <c r="G226" s="3">
        <v>0.22205617999999999</v>
      </c>
      <c r="H226" s="3">
        <v>-1.7469334999999999E-2</v>
      </c>
      <c r="I226" s="3">
        <v>1.8913418667716231E-2</v>
      </c>
      <c r="J226" s="3">
        <v>-2.1477835663402334E-2</v>
      </c>
      <c r="K226" s="3">
        <v>4.7038657019514239E-3</v>
      </c>
    </row>
    <row r="227" spans="1:11" x14ac:dyDescent="0.2">
      <c r="A227" s="7">
        <f t="shared" si="15"/>
        <v>1992</v>
      </c>
      <c r="B227" s="5">
        <v>10</v>
      </c>
      <c r="C227" s="3">
        <f t="shared" si="12"/>
        <v>-9.5248111179016652E-3</v>
      </c>
      <c r="D227" s="3">
        <f t="shared" si="13"/>
        <v>-2.2572489510361348E-2</v>
      </c>
      <c r="E227" s="3">
        <f>G227-K227</f>
        <v>4.0550042158173467E-3</v>
      </c>
      <c r="F227" s="3">
        <f t="shared" si="14"/>
        <v>-3.4723008584182653E-2</v>
      </c>
      <c r="G227" s="3">
        <v>8.4617908000000006E-3</v>
      </c>
      <c r="H227" s="3">
        <v>-3.0316222E-2</v>
      </c>
      <c r="I227" s="3">
        <v>-5.1180245337190122E-3</v>
      </c>
      <c r="J227" s="3">
        <v>-1.8165702926178695E-2</v>
      </c>
      <c r="K227" s="3">
        <v>4.4067865841826539E-3</v>
      </c>
    </row>
    <row r="228" spans="1:11" x14ac:dyDescent="0.2">
      <c r="A228" s="7">
        <f t="shared" si="15"/>
        <v>1992</v>
      </c>
      <c r="B228" s="5">
        <v>11</v>
      </c>
      <c r="C228" s="3">
        <f t="shared" si="12"/>
        <v>-1.041137829417749E-2</v>
      </c>
      <c r="D228" s="3">
        <f t="shared" si="13"/>
        <v>2.0464059385426277E-2</v>
      </c>
      <c r="E228" s="3">
        <f>G228-K228</f>
        <v>-2.0985027553240623E-2</v>
      </c>
      <c r="F228" s="3">
        <f t="shared" si="14"/>
        <v>1.4034734467593775E-3</v>
      </c>
      <c r="G228" s="3">
        <v>-1.6166939000000002E-2</v>
      </c>
      <c r="H228" s="3">
        <v>6.2215619999999999E-3</v>
      </c>
      <c r="I228" s="3">
        <v>-5.5932897409368687E-3</v>
      </c>
      <c r="J228" s="3">
        <v>2.5282147938666899E-2</v>
      </c>
      <c r="K228" s="3">
        <v>4.8180885532406225E-3</v>
      </c>
    </row>
    <row r="229" spans="1:11" x14ac:dyDescent="0.2">
      <c r="A229" s="7">
        <f t="shared" si="15"/>
        <v>1992</v>
      </c>
      <c r="B229" s="5">
        <v>12</v>
      </c>
      <c r="C229" s="3">
        <f t="shared" si="12"/>
        <v>5.6918219019236792E-2</v>
      </c>
      <c r="D229" s="3">
        <f t="shared" si="13"/>
        <v>4.9115017945116544E-2</v>
      </c>
      <c r="E229" s="3">
        <f>G229-K229</f>
        <v>0.10138336326247009</v>
      </c>
      <c r="F229" s="3">
        <f t="shared" si="14"/>
        <v>4.0109793262470106E-2</v>
      </c>
      <c r="G229" s="3">
        <v>0.10594381999999999</v>
      </c>
      <c r="H229" s="3">
        <v>4.4670250000000002E-2</v>
      </c>
      <c r="I229" s="3">
        <v>6.1478675756766687E-2</v>
      </c>
      <c r="J229" s="3">
        <v>5.367547468264644E-2</v>
      </c>
      <c r="K229" s="3">
        <v>4.5604567375298983E-3</v>
      </c>
    </row>
    <row r="230" spans="1:11" x14ac:dyDescent="0.2">
      <c r="A230" s="7">
        <f t="shared" si="15"/>
        <v>1993</v>
      </c>
      <c r="B230" s="5">
        <v>1</v>
      </c>
      <c r="C230" s="3">
        <f t="shared" si="12"/>
        <v>5.9863346355447572E-2</v>
      </c>
      <c r="D230" s="3">
        <f t="shared" si="13"/>
        <v>-5.2500010977112052E-3</v>
      </c>
      <c r="E230" s="3">
        <f>G230-K230</f>
        <v>0.44569532609906248</v>
      </c>
      <c r="F230" s="3">
        <f t="shared" si="14"/>
        <v>3.1812315990625102E-3</v>
      </c>
      <c r="G230" s="3">
        <v>0.45048895</v>
      </c>
      <c r="H230" s="3">
        <v>7.9748554999999992E-3</v>
      </c>
      <c r="I230" s="3">
        <v>6.465697025638506E-2</v>
      </c>
      <c r="J230" s="3">
        <v>-4.5637719677371624E-4</v>
      </c>
      <c r="K230" s="3">
        <v>4.793623900937489E-3</v>
      </c>
    </row>
    <row r="231" spans="1:11" x14ac:dyDescent="0.2">
      <c r="A231" s="7">
        <f t="shared" si="15"/>
        <v>1993</v>
      </c>
      <c r="B231" s="5">
        <v>2</v>
      </c>
      <c r="C231" s="3">
        <f t="shared" si="12"/>
        <v>8.3706882661364224E-2</v>
      </c>
      <c r="D231" s="3">
        <f t="shared" si="13"/>
        <v>3.4508158900359902E-2</v>
      </c>
      <c r="E231" s="3">
        <f>G231-K231</f>
        <v>0.16829147336325237</v>
      </c>
      <c r="F231" s="3">
        <f t="shared" si="14"/>
        <v>3.9989613363252352E-2</v>
      </c>
      <c r="G231" s="3">
        <v>0.17275976000000001</v>
      </c>
      <c r="H231" s="3">
        <v>4.4457900000000002E-2</v>
      </c>
      <c r="I231" s="3">
        <v>8.8175169298111866E-2</v>
      </c>
      <c r="J231" s="3">
        <v>3.8976445537107551E-2</v>
      </c>
      <c r="K231" s="3">
        <v>4.4682866367476469E-3</v>
      </c>
    </row>
    <row r="232" spans="1:11" x14ac:dyDescent="0.2">
      <c r="A232" s="7">
        <f t="shared" si="15"/>
        <v>1993</v>
      </c>
      <c r="B232" s="5">
        <v>3</v>
      </c>
      <c r="C232" s="3">
        <f t="shared" si="12"/>
        <v>0.11437654261835119</v>
      </c>
      <c r="D232" s="3">
        <f t="shared" si="13"/>
        <v>3.1981703095211436E-2</v>
      </c>
      <c r="E232" s="3">
        <f>G232-K232</f>
        <v>0.16798482034009735</v>
      </c>
      <c r="F232" s="3">
        <f t="shared" si="14"/>
        <v>6.8762919340097345E-2</v>
      </c>
      <c r="G232" s="3">
        <v>0.17225500999999999</v>
      </c>
      <c r="H232" s="3">
        <v>7.3033108999999999E-2</v>
      </c>
      <c r="I232" s="3">
        <v>0.11864673227825384</v>
      </c>
      <c r="J232" s="3">
        <v>3.625189275511409E-2</v>
      </c>
      <c r="K232" s="3">
        <v>4.2701896599026522E-3</v>
      </c>
    </row>
    <row r="233" spans="1:11" x14ac:dyDescent="0.2">
      <c r="A233" s="7">
        <f t="shared" si="15"/>
        <v>1993</v>
      </c>
      <c r="B233" s="5">
        <v>4</v>
      </c>
      <c r="C233" s="3">
        <f t="shared" si="12"/>
        <v>0.1202845001880936</v>
      </c>
      <c r="D233" s="3">
        <f t="shared" si="13"/>
        <v>8.4839645446962812E-3</v>
      </c>
      <c r="E233" s="3">
        <f>G233-K233</f>
        <v>0.3321206694776449</v>
      </c>
      <c r="F233" s="3">
        <f t="shared" si="14"/>
        <v>2.1767164477644891E-2</v>
      </c>
      <c r="G233" s="3">
        <v>0.33611120999999999</v>
      </c>
      <c r="H233" s="3">
        <v>2.5757704999999999E-2</v>
      </c>
      <c r="I233" s="3">
        <v>0.1242750407104487</v>
      </c>
      <c r="J233" s="3">
        <v>1.2474505067051389E-2</v>
      </c>
      <c r="K233" s="3">
        <v>3.9905405223551078E-3</v>
      </c>
    </row>
    <row r="234" spans="1:11" x14ac:dyDescent="0.2">
      <c r="A234" s="7">
        <f t="shared" si="15"/>
        <v>1993</v>
      </c>
      <c r="B234" s="5">
        <v>5</v>
      </c>
      <c r="C234" s="3">
        <f t="shared" si="12"/>
        <v>0.11163249847558117</v>
      </c>
      <c r="D234" s="3">
        <f t="shared" si="13"/>
        <v>3.5574241298823764E-2</v>
      </c>
      <c r="E234" s="3">
        <f>G234-K234</f>
        <v>0.24252207884321333</v>
      </c>
      <c r="F234" s="3">
        <f t="shared" si="14"/>
        <v>4.4285731843213313E-2</v>
      </c>
      <c r="G234" s="3">
        <v>0.24680867000000001</v>
      </c>
      <c r="H234" s="3">
        <v>4.8572323000000001E-2</v>
      </c>
      <c r="I234" s="3">
        <v>0.11591908963236786</v>
      </c>
      <c r="J234" s="3">
        <v>3.9860832455610451E-2</v>
      </c>
      <c r="K234" s="3">
        <v>4.2865911567866836E-3</v>
      </c>
    </row>
    <row r="235" spans="1:11" x14ac:dyDescent="0.2">
      <c r="A235" s="7">
        <f t="shared" si="15"/>
        <v>1993</v>
      </c>
      <c r="B235" s="5">
        <v>6</v>
      </c>
      <c r="C235" s="3">
        <f t="shared" si="12"/>
        <v>1.8198781108005272E-2</v>
      </c>
      <c r="D235" s="3">
        <f t="shared" si="13"/>
        <v>7.9155355897834768E-3</v>
      </c>
      <c r="E235" s="3">
        <f>G235-K235</f>
        <v>0.11410579329777566</v>
      </c>
      <c r="F235" s="3">
        <f t="shared" si="14"/>
        <v>8.0194302977756662E-3</v>
      </c>
      <c r="G235" s="3">
        <v>0.11811951</v>
      </c>
      <c r="H235" s="3">
        <v>1.2033146999999999E-2</v>
      </c>
      <c r="I235" s="3">
        <v>2.2212497810229603E-2</v>
      </c>
      <c r="J235" s="3">
        <v>1.1929252292007808E-2</v>
      </c>
      <c r="K235" s="3">
        <v>4.0137167022243321E-3</v>
      </c>
    </row>
    <row r="236" spans="1:11" x14ac:dyDescent="0.2">
      <c r="A236" s="7">
        <f t="shared" si="15"/>
        <v>1993</v>
      </c>
      <c r="B236" s="5">
        <v>7</v>
      </c>
      <c r="C236" s="3">
        <f t="shared" si="12"/>
        <v>0.14658391009033908</v>
      </c>
      <c r="D236" s="3">
        <f t="shared" si="13"/>
        <v>5.6383831365978201E-2</v>
      </c>
      <c r="E236" s="3">
        <f>G236-K236</f>
        <v>0.33653077676516474</v>
      </c>
      <c r="F236" s="3">
        <f t="shared" si="14"/>
        <v>6.1021312765164773E-2</v>
      </c>
      <c r="G236" s="3">
        <v>0.34055459999999999</v>
      </c>
      <c r="H236" s="3">
        <v>6.5045136000000003E-2</v>
      </c>
      <c r="I236" s="3">
        <v>0.1506077333251743</v>
      </c>
      <c r="J236" s="3">
        <v>6.0407654600813432E-2</v>
      </c>
      <c r="K236" s="3">
        <v>4.0238232348352287E-3</v>
      </c>
    </row>
    <row r="237" spans="1:11" x14ac:dyDescent="0.2">
      <c r="A237" s="7">
        <f t="shared" si="15"/>
        <v>1993</v>
      </c>
      <c r="B237" s="5">
        <v>8</v>
      </c>
      <c r="C237" s="3">
        <f t="shared" si="12"/>
        <v>7.4971587280745738E-2</v>
      </c>
      <c r="D237" s="3">
        <f t="shared" si="13"/>
        <v>5.9289212380172283E-2</v>
      </c>
      <c r="E237" s="3">
        <f>G237-K237</f>
        <v>0.15865319633505903</v>
      </c>
      <c r="F237" s="3">
        <f t="shared" si="14"/>
        <v>4.2399620335059035E-2</v>
      </c>
      <c r="G237" s="3">
        <v>0.16233413999999999</v>
      </c>
      <c r="H237" s="3">
        <v>4.6080563999999997E-2</v>
      </c>
      <c r="I237" s="3">
        <v>7.8652530945686694E-2</v>
      </c>
      <c r="J237" s="3">
        <v>6.2970156045113246E-2</v>
      </c>
      <c r="K237" s="3">
        <v>3.6809436649409611E-3</v>
      </c>
    </row>
    <row r="238" spans="1:11" x14ac:dyDescent="0.2">
      <c r="A238" s="7">
        <f t="shared" si="15"/>
        <v>1993</v>
      </c>
      <c r="B238" s="5">
        <v>9</v>
      </c>
      <c r="C238" s="3">
        <f t="shared" si="12"/>
        <v>-2.3439537901416958E-2</v>
      </c>
      <c r="D238" s="3">
        <f t="shared" si="13"/>
        <v>-3.0655959536408234E-4</v>
      </c>
      <c r="E238" s="3">
        <f>G238-K238</f>
        <v>-3.0278754044566612E-2</v>
      </c>
      <c r="F238" s="3">
        <f t="shared" si="14"/>
        <v>1.6578080554333864E-3</v>
      </c>
      <c r="G238" s="3">
        <v>-2.6279602999999999E-2</v>
      </c>
      <c r="H238" s="3">
        <v>5.6569591000000001E-3</v>
      </c>
      <c r="I238" s="3">
        <v>-1.9440386856850345E-2</v>
      </c>
      <c r="J238" s="3">
        <v>3.6925914492025314E-3</v>
      </c>
      <c r="K238" s="3">
        <v>3.9991510445666137E-3</v>
      </c>
    </row>
    <row r="239" spans="1:11" x14ac:dyDescent="0.2">
      <c r="A239" s="7">
        <f t="shared" si="15"/>
        <v>1993</v>
      </c>
      <c r="B239" s="5">
        <v>10</v>
      </c>
      <c r="C239" s="3">
        <f t="shared" si="12"/>
        <v>7.2821473056317726E-2</v>
      </c>
      <c r="D239" s="3">
        <f t="shared" si="13"/>
        <v>5.7464588074749322E-2</v>
      </c>
      <c r="E239" s="3">
        <f>G239-K239</f>
        <v>0.24020724633505905</v>
      </c>
      <c r="F239" s="3">
        <f t="shared" si="14"/>
        <v>7.6117154335059042E-2</v>
      </c>
      <c r="G239" s="3">
        <v>0.24388819</v>
      </c>
      <c r="H239" s="3">
        <v>7.9798097999999998E-2</v>
      </c>
      <c r="I239" s="3">
        <v>7.6502416721258681E-2</v>
      </c>
      <c r="J239" s="3">
        <v>6.1145531739690284E-2</v>
      </c>
      <c r="K239" s="3">
        <v>3.6809436649409611E-3</v>
      </c>
    </row>
    <row r="240" spans="1:11" x14ac:dyDescent="0.2">
      <c r="A240" s="7">
        <f t="shared" si="15"/>
        <v>1993</v>
      </c>
      <c r="B240" s="5">
        <v>11</v>
      </c>
      <c r="C240" s="3">
        <f t="shared" si="12"/>
        <v>-1.8646511398930692E-2</v>
      </c>
      <c r="D240" s="3">
        <f t="shared" si="13"/>
        <v>-4.7384199919018981E-2</v>
      </c>
      <c r="E240" s="3">
        <f>G240-K240</f>
        <v>5.2320839771781077E-2</v>
      </c>
      <c r="F240" s="3">
        <f t="shared" si="14"/>
        <v>-3.7456839228218922E-2</v>
      </c>
      <c r="G240" s="3">
        <v>5.6270626999999997E-2</v>
      </c>
      <c r="H240" s="3">
        <v>-3.3507052000000002E-2</v>
      </c>
      <c r="I240" s="3">
        <v>-1.4696724170711772E-2</v>
      </c>
      <c r="J240" s="3">
        <v>-4.3434412690800062E-2</v>
      </c>
      <c r="K240" s="3">
        <v>3.9497872282189175E-3</v>
      </c>
    </row>
    <row r="241" spans="1:11" x14ac:dyDescent="0.2">
      <c r="A241" s="7">
        <f t="shared" si="15"/>
        <v>1993</v>
      </c>
      <c r="B241" s="5">
        <v>12</v>
      </c>
      <c r="C241" s="3">
        <f t="shared" si="12"/>
        <v>0.13242185420644953</v>
      </c>
      <c r="D241" s="3">
        <f t="shared" si="13"/>
        <v>7.6249856303296129E-2</v>
      </c>
      <c r="E241" s="3">
        <f>G241-K241</f>
        <v>0.17222722258272466</v>
      </c>
      <c r="F241" s="3">
        <f t="shared" si="14"/>
        <v>8.1950751582724662E-2</v>
      </c>
      <c r="G241" s="3">
        <v>0.17597792000000001</v>
      </c>
      <c r="H241" s="3">
        <v>8.5701448999999999E-2</v>
      </c>
      <c r="I241" s="3">
        <v>0.13617255162372488</v>
      </c>
      <c r="J241" s="3">
        <v>8.0000553720571466E-2</v>
      </c>
      <c r="K241" s="3">
        <v>3.7506974172753413E-3</v>
      </c>
    </row>
    <row r="242" spans="1:11" x14ac:dyDescent="0.2">
      <c r="A242" s="7">
        <f t="shared" si="15"/>
        <v>1994</v>
      </c>
      <c r="B242" s="5">
        <v>1</v>
      </c>
      <c r="C242" s="3">
        <f t="shared" si="12"/>
        <v>0.14444127164041132</v>
      </c>
      <c r="D242" s="3">
        <f t="shared" si="13"/>
        <v>5.8296214895039215E-2</v>
      </c>
      <c r="E242" s="3">
        <f>G242-K242</f>
        <v>0.34976454440497684</v>
      </c>
      <c r="F242" s="3">
        <f t="shared" si="14"/>
        <v>5.340095440497681E-2</v>
      </c>
      <c r="G242" s="3">
        <v>0.35368964000000003</v>
      </c>
      <c r="H242" s="3">
        <v>5.7326050000000003E-2</v>
      </c>
      <c r="I242" s="3">
        <v>0.1483663672354345</v>
      </c>
      <c r="J242" s="3">
        <v>6.2221310490062409E-2</v>
      </c>
      <c r="K242" s="3">
        <v>3.9250955950231939E-3</v>
      </c>
    </row>
    <row r="243" spans="1:11" x14ac:dyDescent="0.2">
      <c r="A243" s="7">
        <f t="shared" si="15"/>
        <v>1994</v>
      </c>
      <c r="B243" s="5">
        <v>2</v>
      </c>
      <c r="C243" s="3">
        <f t="shared" si="12"/>
        <v>5.0579031669548954E-2</v>
      </c>
      <c r="D243" s="3">
        <f t="shared" si="13"/>
        <v>-5.0534444988238073E-2</v>
      </c>
      <c r="E243" s="3">
        <f>G243-K243</f>
        <v>0.26450296772670789</v>
      </c>
      <c r="F243" s="3">
        <f t="shared" si="14"/>
        <v>-5.5556327273292148E-2</v>
      </c>
      <c r="G243" s="3">
        <v>0.26823042000000002</v>
      </c>
      <c r="H243" s="3">
        <v>-5.1828875000000003E-2</v>
      </c>
      <c r="I243" s="3">
        <v>5.4306483942841099E-2</v>
      </c>
      <c r="J243" s="3">
        <v>-4.6806992714945928E-2</v>
      </c>
      <c r="K243" s="3">
        <v>3.7274522732921467E-3</v>
      </c>
    </row>
    <row r="244" spans="1:11" x14ac:dyDescent="0.2">
      <c r="A244" s="7">
        <f t="shared" si="15"/>
        <v>1994</v>
      </c>
      <c r="B244" s="5">
        <v>3</v>
      </c>
      <c r="C244" s="3">
        <f t="shared" si="12"/>
        <v>-6.1538504570704047E-2</v>
      </c>
      <c r="D244" s="3">
        <f t="shared" si="13"/>
        <v>-4.9614081162167437E-2</v>
      </c>
      <c r="E244" s="3">
        <f>G244-K244</f>
        <v>-3.5119916376880049E-2</v>
      </c>
      <c r="F244" s="3">
        <f t="shared" si="14"/>
        <v>-4.506027837688005E-2</v>
      </c>
      <c r="G244" s="3">
        <v>-3.1145444000000001E-2</v>
      </c>
      <c r="H244" s="3">
        <v>-4.1085806000000002E-2</v>
      </c>
      <c r="I244" s="3">
        <v>-5.7564032193824E-2</v>
      </c>
      <c r="J244" s="3">
        <v>-4.5639608785287389E-2</v>
      </c>
      <c r="K244" s="3">
        <v>3.9744723768800451E-3</v>
      </c>
    </row>
    <row r="245" spans="1:11" x14ac:dyDescent="0.2">
      <c r="A245" s="7">
        <f t="shared" si="15"/>
        <v>1994</v>
      </c>
      <c r="B245" s="5">
        <v>4</v>
      </c>
      <c r="C245" s="3">
        <f t="shared" si="12"/>
        <v>-2.5616784442993271E-2</v>
      </c>
      <c r="D245" s="3">
        <f t="shared" si="13"/>
        <v>-3.8031789306378228E-3</v>
      </c>
      <c r="E245" s="3">
        <f>G245-K245</f>
        <v>-4.0025497273292146E-2</v>
      </c>
      <c r="F245" s="3">
        <f t="shared" si="14"/>
        <v>-1.4425793273292147E-2</v>
      </c>
      <c r="G245" s="3">
        <v>-3.6298045000000001E-2</v>
      </c>
      <c r="H245" s="3">
        <v>-1.0698341E-2</v>
      </c>
      <c r="I245" s="3">
        <v>-2.1889332169701126E-2</v>
      </c>
      <c r="J245" s="3">
        <v>-7.5726657345676074E-5</v>
      </c>
      <c r="K245" s="3">
        <v>3.7274522732921467E-3</v>
      </c>
    </row>
    <row r="246" spans="1:11" x14ac:dyDescent="0.2">
      <c r="A246" s="7">
        <f t="shared" si="15"/>
        <v>1994</v>
      </c>
      <c r="B246" s="5">
        <v>5</v>
      </c>
      <c r="C246" s="3">
        <f t="shared" si="12"/>
        <v>-2.3892119191809811E-2</v>
      </c>
      <c r="D246" s="3">
        <f t="shared" si="13"/>
        <v>4.0340431406234688E-3</v>
      </c>
      <c r="E246" s="3">
        <f>G246-K246</f>
        <v>-9.0956157909060833E-3</v>
      </c>
      <c r="F246" s="3">
        <f t="shared" si="14"/>
        <v>-3.1173345009060834E-3</v>
      </c>
      <c r="G246" s="3">
        <v>-5.0800159000000001E-3</v>
      </c>
      <c r="H246" s="3">
        <v>8.9826539000000005E-4</v>
      </c>
      <c r="I246" s="3">
        <v>-1.9876519300903728E-2</v>
      </c>
      <c r="J246" s="3">
        <v>8.049643031529552E-3</v>
      </c>
      <c r="K246" s="3">
        <v>4.0155998909060832E-3</v>
      </c>
    </row>
    <row r="247" spans="1:11" x14ac:dyDescent="0.2">
      <c r="A247" s="7">
        <f t="shared" si="15"/>
        <v>1994</v>
      </c>
      <c r="B247" s="5">
        <v>6</v>
      </c>
      <c r="C247" s="3">
        <f t="shared" si="12"/>
        <v>-4.5504684724883546E-2</v>
      </c>
      <c r="D247" s="3">
        <f t="shared" si="13"/>
        <v>-4.5530250875942743E-2</v>
      </c>
      <c r="E247" s="3">
        <f>G247-K247</f>
        <v>-5.3100346602385877E-2</v>
      </c>
      <c r="F247" s="3">
        <f t="shared" si="14"/>
        <v>-4.9024403602385878E-2</v>
      </c>
      <c r="G247" s="3">
        <v>-4.8839793999999999E-2</v>
      </c>
      <c r="H247" s="3">
        <v>-4.4763851E-2</v>
      </c>
      <c r="I247" s="3">
        <v>-4.1244132122497668E-2</v>
      </c>
      <c r="J247" s="3">
        <v>-4.1269698273556865E-2</v>
      </c>
      <c r="K247" s="3">
        <v>4.2605526023858763E-3</v>
      </c>
    </row>
    <row r="248" spans="1:11" x14ac:dyDescent="0.2">
      <c r="A248" s="7">
        <f t="shared" si="15"/>
        <v>1994</v>
      </c>
      <c r="B248" s="5">
        <v>7</v>
      </c>
      <c r="C248" s="3">
        <f t="shared" si="12"/>
        <v>4.5646009795675437E-2</v>
      </c>
      <c r="D248" s="3">
        <f t="shared" si="13"/>
        <v>2.3159979852936032E-2</v>
      </c>
      <c r="E248" s="3">
        <f>G248-K248</f>
        <v>0.13411751476577033</v>
      </c>
      <c r="F248" s="3">
        <f t="shared" si="14"/>
        <v>2.3195219765770346E-2</v>
      </c>
      <c r="G248" s="3">
        <v>0.13869066999999999</v>
      </c>
      <c r="H248" s="3">
        <v>2.7768375000000001E-2</v>
      </c>
      <c r="I248" s="3">
        <v>5.0219165029905088E-2</v>
      </c>
      <c r="J248" s="3">
        <v>2.7733135087165683E-2</v>
      </c>
      <c r="K248" s="3">
        <v>4.5731552342296537E-3</v>
      </c>
    </row>
    <row r="249" spans="1:11" x14ac:dyDescent="0.2">
      <c r="A249" s="7">
        <f t="shared" si="15"/>
        <v>1994</v>
      </c>
      <c r="B249" s="5">
        <v>8</v>
      </c>
      <c r="C249" s="3">
        <f t="shared" si="12"/>
        <v>2.8768125263259718E-3</v>
      </c>
      <c r="D249" s="3">
        <f t="shared" si="13"/>
        <v>2.8925514068842122E-2</v>
      </c>
      <c r="E249" s="3">
        <f>G249-K249</f>
        <v>4.7266435052504746E-2</v>
      </c>
      <c r="F249" s="3">
        <f t="shared" si="14"/>
        <v>2.3649901052504745E-2</v>
      </c>
      <c r="G249" s="3">
        <v>5.1703976999999998E-2</v>
      </c>
      <c r="H249" s="3">
        <v>2.8087443E-2</v>
      </c>
      <c r="I249" s="3">
        <v>7.3143544738212274E-3</v>
      </c>
      <c r="J249" s="3">
        <v>3.3363056016337378E-2</v>
      </c>
      <c r="K249" s="3">
        <v>4.4375419474952556E-3</v>
      </c>
    </row>
    <row r="250" spans="1:11" x14ac:dyDescent="0.2">
      <c r="A250" s="7">
        <f t="shared" si="15"/>
        <v>1994</v>
      </c>
      <c r="B250" s="5">
        <v>9</v>
      </c>
      <c r="C250" s="3">
        <f t="shared" si="12"/>
        <v>-1.0220756983510122E-2</v>
      </c>
      <c r="D250" s="3">
        <f t="shared" si="13"/>
        <v>-3.3255367386459088E-2</v>
      </c>
      <c r="E250" s="3">
        <f>G250-K250</f>
        <v>4.8717134917696657E-2</v>
      </c>
      <c r="F250" s="3">
        <f t="shared" si="14"/>
        <v>-3.0159792082303339E-2</v>
      </c>
      <c r="G250" s="3">
        <v>5.3730712E-2</v>
      </c>
      <c r="H250" s="3">
        <v>-2.5146215E-2</v>
      </c>
      <c r="I250" s="3">
        <v>-5.2071799012067821E-3</v>
      </c>
      <c r="J250" s="3">
        <v>-2.8241790304155745E-2</v>
      </c>
      <c r="K250" s="3">
        <v>5.0135770823033403E-3</v>
      </c>
    </row>
    <row r="251" spans="1:11" x14ac:dyDescent="0.2">
      <c r="A251" s="7">
        <f t="shared" si="15"/>
        <v>1994</v>
      </c>
      <c r="B251" s="5">
        <v>10</v>
      </c>
      <c r="C251" s="3">
        <f t="shared" si="12"/>
        <v>-2.7443602531849125E-2</v>
      </c>
      <c r="D251" s="3">
        <f t="shared" si="13"/>
        <v>5.7251036605174346E-3</v>
      </c>
      <c r="E251" s="3">
        <f>G251-K251</f>
        <v>3.8581752464892913E-2</v>
      </c>
      <c r="F251" s="3">
        <f t="shared" si="14"/>
        <v>-2.4149323351070895E-3</v>
      </c>
      <c r="G251" s="3">
        <v>4.3830446000000002E-2</v>
      </c>
      <c r="H251" s="3">
        <v>2.8337611999999998E-3</v>
      </c>
      <c r="I251" s="3">
        <v>-2.2194908996742035E-2</v>
      </c>
      <c r="J251" s="3">
        <v>1.0973797195624524E-2</v>
      </c>
      <c r="K251" s="3">
        <v>5.2486935351070893E-3</v>
      </c>
    </row>
    <row r="252" spans="1:11" x14ac:dyDescent="0.2">
      <c r="A252" s="7">
        <f t="shared" si="15"/>
        <v>1994</v>
      </c>
      <c r="B252" s="5">
        <v>11</v>
      </c>
      <c r="C252" s="3">
        <f t="shared" si="12"/>
        <v>-9.2308589147897691E-2</v>
      </c>
      <c r="D252" s="3">
        <f t="shared" si="13"/>
        <v>-8.0854685429714912E-2</v>
      </c>
      <c r="E252" s="3">
        <f>G252-K252</f>
        <v>-8.6827023748033888E-2</v>
      </c>
      <c r="F252" s="3">
        <f t="shared" si="14"/>
        <v>-7.6876215748033896E-2</v>
      </c>
      <c r="G252" s="3">
        <v>-8.0713282999999997E-2</v>
      </c>
      <c r="H252" s="3">
        <v>-7.0762475000000005E-2</v>
      </c>
      <c r="I252" s="3">
        <v>-8.6194848399863799E-2</v>
      </c>
      <c r="J252" s="3">
        <v>-7.4740944681681021E-2</v>
      </c>
      <c r="K252" s="3">
        <v>6.1137407480338912E-3</v>
      </c>
    </row>
    <row r="253" spans="1:11" x14ac:dyDescent="0.2">
      <c r="A253" s="7">
        <f t="shared" si="15"/>
        <v>1994</v>
      </c>
      <c r="B253" s="5">
        <v>12</v>
      </c>
      <c r="C253" s="3">
        <f t="shared" si="12"/>
        <v>-1.3357194115406517E-2</v>
      </c>
      <c r="D253" s="3">
        <f t="shared" si="13"/>
        <v>6.6669463392891775E-3</v>
      </c>
      <c r="E253" s="3">
        <f>G253-K253</f>
        <v>9.5331973138167748E-3</v>
      </c>
      <c r="F253" s="3">
        <f t="shared" si="14"/>
        <v>3.8742813138167758E-3</v>
      </c>
      <c r="G253" s="3">
        <v>1.5917213E-2</v>
      </c>
      <c r="H253" s="3">
        <v>1.0258297E-2</v>
      </c>
      <c r="I253" s="3">
        <v>-6.9731784292232923E-3</v>
      </c>
      <c r="J253" s="3">
        <v>1.3050962025472401E-2</v>
      </c>
      <c r="K253" s="3">
        <v>6.3840156861832238E-3</v>
      </c>
    </row>
    <row r="254" spans="1:11" x14ac:dyDescent="0.2">
      <c r="A254" s="7">
        <f t="shared" si="15"/>
        <v>1995</v>
      </c>
      <c r="B254" s="5">
        <v>1</v>
      </c>
      <c r="C254" s="3">
        <f t="shared" si="12"/>
        <v>-4.6594555802071259E-2</v>
      </c>
      <c r="D254" s="3">
        <f t="shared" si="13"/>
        <v>-4.3412700541682316E-2</v>
      </c>
      <c r="E254" s="3">
        <f>G254-K254</f>
        <v>2.0791053965148784E-2</v>
      </c>
      <c r="F254" s="3">
        <f t="shared" si="14"/>
        <v>-4.6111405034851213E-2</v>
      </c>
      <c r="G254" s="3">
        <v>2.7681692000000001E-2</v>
      </c>
      <c r="H254" s="3">
        <v>-3.9220766999999997E-2</v>
      </c>
      <c r="I254" s="3">
        <v>-3.9703917767220043E-2</v>
      </c>
      <c r="J254" s="3">
        <v>-3.6522062506831099E-2</v>
      </c>
      <c r="K254" s="3">
        <v>6.8906380348512158E-3</v>
      </c>
    </row>
    <row r="255" spans="1:11" x14ac:dyDescent="0.2">
      <c r="A255" s="7">
        <f t="shared" si="15"/>
        <v>1995</v>
      </c>
      <c r="B255" s="5">
        <v>2</v>
      </c>
      <c r="C255" s="3">
        <f t="shared" si="12"/>
        <v>-1.5809049075485283E-2</v>
      </c>
      <c r="D255" s="3">
        <f t="shared" si="13"/>
        <v>3.8786631534879067E-2</v>
      </c>
      <c r="E255" s="3">
        <f>G255-K255</f>
        <v>-4.1000913846425489E-3</v>
      </c>
      <c r="F255" s="3">
        <f t="shared" si="14"/>
        <v>3.5753638215357451E-2</v>
      </c>
      <c r="G255" s="3">
        <v>2.0730974E-3</v>
      </c>
      <c r="H255" s="3">
        <v>4.1926827E-2</v>
      </c>
      <c r="I255" s="3">
        <v>-9.6358602908427349E-3</v>
      </c>
      <c r="J255" s="3">
        <v>4.4959820319521615E-2</v>
      </c>
      <c r="K255" s="3">
        <v>6.1731887846425493E-3</v>
      </c>
    </row>
    <row r="256" spans="1:11" x14ac:dyDescent="0.2">
      <c r="A256" s="7">
        <f t="shared" si="15"/>
        <v>1995</v>
      </c>
      <c r="B256" s="5">
        <v>3</v>
      </c>
      <c r="C256" s="3">
        <f t="shared" si="12"/>
        <v>-2.9422201945682871E-2</v>
      </c>
      <c r="D256" s="3">
        <f t="shared" si="13"/>
        <v>2.2930741236924269E-3</v>
      </c>
      <c r="E256" s="3">
        <f>G256-K256</f>
        <v>1.252288704954654E-2</v>
      </c>
      <c r="F256" s="3">
        <f t="shared" si="14"/>
        <v>-1.8228272504534583E-3</v>
      </c>
      <c r="G256" s="3">
        <v>1.9045897999999999E-2</v>
      </c>
      <c r="H256" s="3">
        <v>4.7001836999999999E-3</v>
      </c>
      <c r="I256" s="3">
        <v>-2.2899190995229413E-2</v>
      </c>
      <c r="J256" s="3">
        <v>8.8160850741458852E-3</v>
      </c>
      <c r="K256" s="3">
        <v>6.5230109504534582E-3</v>
      </c>
    </row>
    <row r="257" spans="1:11" x14ac:dyDescent="0.2">
      <c r="A257" s="7">
        <f t="shared" si="15"/>
        <v>1995</v>
      </c>
      <c r="B257" s="5">
        <v>4</v>
      </c>
      <c r="C257" s="3">
        <f t="shared" si="12"/>
        <v>3.8883146329875391E-2</v>
      </c>
      <c r="D257" s="3">
        <f t="shared" si="13"/>
        <v>6.4754928645321785E-2</v>
      </c>
      <c r="E257" s="3">
        <f>G257-K257</f>
        <v>4.3493084842398735E-2</v>
      </c>
      <c r="F257" s="3">
        <f t="shared" si="14"/>
        <v>7.8811524842398728E-2</v>
      </c>
      <c r="G257" s="3">
        <v>4.9711493000000002E-2</v>
      </c>
      <c r="H257" s="3">
        <v>8.5029933000000002E-2</v>
      </c>
      <c r="I257" s="3">
        <v>4.5101554487476658E-2</v>
      </c>
      <c r="J257" s="3">
        <v>7.0973336802923059E-2</v>
      </c>
      <c r="K257" s="3">
        <v>6.2184081576012696E-3</v>
      </c>
    </row>
    <row r="258" spans="1:11" x14ac:dyDescent="0.2">
      <c r="A258" s="7">
        <f t="shared" si="15"/>
        <v>1995</v>
      </c>
      <c r="B258" s="5">
        <v>5</v>
      </c>
      <c r="C258" s="3">
        <f t="shared" si="12"/>
        <v>-2.6751205156210125E-2</v>
      </c>
      <c r="D258" s="3">
        <f t="shared" si="13"/>
        <v>-1.5271372207928759E-2</v>
      </c>
      <c r="E258" s="3">
        <f>G258-K258</f>
        <v>3.2713197773137637E-2</v>
      </c>
      <c r="F258" s="3">
        <f t="shared" si="14"/>
        <v>-2.4921157226862369E-2</v>
      </c>
      <c r="G258" s="3">
        <v>3.8915363000000001E-2</v>
      </c>
      <c r="H258" s="3">
        <v>-1.8718992E-2</v>
      </c>
      <c r="I258" s="3">
        <v>-2.0549039929347757E-2</v>
      </c>
      <c r="J258" s="3">
        <v>-9.0692069810663911E-3</v>
      </c>
      <c r="K258" s="3">
        <v>6.2021652268623682E-3</v>
      </c>
    </row>
    <row r="259" spans="1:11" x14ac:dyDescent="0.2">
      <c r="A259" s="7">
        <f t="shared" si="15"/>
        <v>1995</v>
      </c>
      <c r="B259" s="5">
        <v>6</v>
      </c>
      <c r="C259" s="3">
        <f t="shared" ref="C259:C322" si="16">I259-K259</f>
        <v>-2.9481553097098868E-2</v>
      </c>
      <c r="D259" s="3">
        <f t="shared" ref="D259:D322" si="17">J259-K259</f>
        <v>-6.6562404174608123E-3</v>
      </c>
      <c r="E259" s="3">
        <f>G259-K259</f>
        <v>-6.2273545453562965E-2</v>
      </c>
      <c r="F259" s="3">
        <f t="shared" ref="F259:F322" si="18">H259-K259</f>
        <v>-1.3458954353562966E-2</v>
      </c>
      <c r="G259" s="3">
        <v>-5.6409974000000002E-2</v>
      </c>
      <c r="H259" s="3">
        <v>-7.5953829000000002E-3</v>
      </c>
      <c r="I259" s="3">
        <v>-2.3617981643535901E-2</v>
      </c>
      <c r="J259" s="3">
        <v>-7.926689638978468E-4</v>
      </c>
      <c r="K259" s="3">
        <v>5.8635714535629655E-3</v>
      </c>
    </row>
    <row r="260" spans="1:11" x14ac:dyDescent="0.2">
      <c r="A260" s="7">
        <f t="shared" si="15"/>
        <v>1995</v>
      </c>
      <c r="B260" s="5">
        <v>7</v>
      </c>
      <c r="C260" s="3">
        <f t="shared" si="16"/>
        <v>3.9781433389749578E-2</v>
      </c>
      <c r="D260" s="3">
        <f t="shared" si="17"/>
        <v>4.3989360277952062E-2</v>
      </c>
      <c r="E260" s="3">
        <f>G260-K260</f>
        <v>9.5808745778359808E-2</v>
      </c>
      <c r="F260" s="3">
        <f t="shared" si="18"/>
        <v>3.4971724778359796E-2</v>
      </c>
      <c r="G260" s="3">
        <v>0.10199484</v>
      </c>
      <c r="H260" s="3">
        <v>4.1157818999999998E-2</v>
      </c>
      <c r="I260" s="3">
        <v>4.596752761138978E-2</v>
      </c>
      <c r="J260" s="3">
        <v>5.0175454499592265E-2</v>
      </c>
      <c r="K260" s="3">
        <v>6.1860942216401997E-3</v>
      </c>
    </row>
    <row r="261" spans="1:11" x14ac:dyDescent="0.2">
      <c r="A261" s="7">
        <f t="shared" si="15"/>
        <v>1995</v>
      </c>
      <c r="B261" s="5">
        <v>8</v>
      </c>
      <c r="C261" s="3">
        <f t="shared" si="16"/>
        <v>7.5773910390316015E-2</v>
      </c>
      <c r="D261" s="3">
        <f t="shared" si="17"/>
        <v>-2.0726507035976139E-3</v>
      </c>
      <c r="E261" s="3">
        <f>G261-K261</f>
        <v>0.12573367370287522</v>
      </c>
      <c r="F261" s="3">
        <f t="shared" si="18"/>
        <v>5.1224977028752261E-3</v>
      </c>
      <c r="G261" s="3">
        <v>0.13158967999999999</v>
      </c>
      <c r="H261" s="3">
        <v>1.0978504E-2</v>
      </c>
      <c r="I261" s="3">
        <v>8.1629916687440796E-2</v>
      </c>
      <c r="J261" s="3">
        <v>3.7833555935271601E-3</v>
      </c>
      <c r="K261" s="3">
        <v>5.856006297124774E-3</v>
      </c>
    </row>
    <row r="262" spans="1:11" x14ac:dyDescent="0.2">
      <c r="A262" s="7">
        <f t="shared" si="15"/>
        <v>1995</v>
      </c>
      <c r="B262" s="5">
        <v>9</v>
      </c>
      <c r="C262" s="3">
        <f t="shared" si="16"/>
        <v>7.0698843424981204E-3</v>
      </c>
      <c r="D262" s="3">
        <f t="shared" si="17"/>
        <v>-1.0797009065961396E-3</v>
      </c>
      <c r="E262" s="3">
        <f>G262-K262</f>
        <v>4.1571978298583889E-2</v>
      </c>
      <c r="F262" s="3">
        <f t="shared" si="18"/>
        <v>1.4630813298583888E-2</v>
      </c>
      <c r="G262" s="3">
        <v>4.7782178000000002E-2</v>
      </c>
      <c r="H262" s="3">
        <v>2.0841012999999999E-2</v>
      </c>
      <c r="I262" s="3">
        <v>1.3280084043914231E-2</v>
      </c>
      <c r="J262" s="3">
        <v>5.130498794819971E-3</v>
      </c>
      <c r="K262" s="3">
        <v>6.2101997014161105E-3</v>
      </c>
    </row>
    <row r="263" spans="1:11" x14ac:dyDescent="0.2">
      <c r="A263" s="7">
        <f t="shared" si="15"/>
        <v>1995</v>
      </c>
      <c r="B263" s="5">
        <v>10</v>
      </c>
      <c r="C263" s="3">
        <f t="shared" si="16"/>
        <v>-2.9905474940972596E-2</v>
      </c>
      <c r="D263" s="3">
        <f t="shared" si="17"/>
        <v>-2.8049850431452337E-2</v>
      </c>
      <c r="E263" s="3">
        <f>G263-K263</f>
        <v>-5.5062750048598536E-2</v>
      </c>
      <c r="F263" s="3">
        <f t="shared" si="18"/>
        <v>-2.6829855048598542E-2</v>
      </c>
      <c r="G263" s="3">
        <v>-4.9221875999999998E-2</v>
      </c>
      <c r="H263" s="3">
        <v>-2.0988981E-2</v>
      </c>
      <c r="I263" s="3">
        <v>-2.4064600892374055E-2</v>
      </c>
      <c r="J263" s="3">
        <v>-2.2208976382853796E-2</v>
      </c>
      <c r="K263" s="3">
        <v>5.8408740485985412E-3</v>
      </c>
    </row>
    <row r="264" spans="1:11" x14ac:dyDescent="0.2">
      <c r="A264" s="7">
        <f t="shared" si="15"/>
        <v>1995</v>
      </c>
      <c r="B264" s="5">
        <v>11</v>
      </c>
      <c r="C264" s="3">
        <f t="shared" si="16"/>
        <v>2.4560118664192845E-2</v>
      </c>
      <c r="D264" s="3">
        <f t="shared" si="17"/>
        <v>2.9606539300460324E-2</v>
      </c>
      <c r="E264" s="3">
        <f>G264-K264</f>
        <v>1.7247149432280735E-2</v>
      </c>
      <c r="F264" s="3">
        <f t="shared" si="18"/>
        <v>4.0317403432280734E-2</v>
      </c>
      <c r="G264" s="3">
        <v>2.3336760000000002E-2</v>
      </c>
      <c r="H264" s="3">
        <v>4.6407014000000003E-2</v>
      </c>
      <c r="I264" s="3">
        <v>3.0649729231912115E-2</v>
      </c>
      <c r="J264" s="3">
        <v>3.5696149868179594E-2</v>
      </c>
      <c r="K264" s="3">
        <v>6.0896105677192679E-3</v>
      </c>
    </row>
    <row r="265" spans="1:11" x14ac:dyDescent="0.2">
      <c r="A265" s="7">
        <f t="shared" si="15"/>
        <v>1995</v>
      </c>
      <c r="B265" s="5">
        <v>12</v>
      </c>
      <c r="C265" s="3">
        <f t="shared" si="16"/>
        <v>2.004968150510391E-2</v>
      </c>
      <c r="D265" s="3">
        <f t="shared" si="17"/>
        <v>1.8273245647638235E-2</v>
      </c>
      <c r="E265" s="3">
        <f>G265-K265</f>
        <v>8.8169056603395024E-2</v>
      </c>
      <c r="F265" s="3">
        <f t="shared" si="18"/>
        <v>2.1129635603395022E-2</v>
      </c>
      <c r="G265" s="3">
        <v>9.3850885999999994E-2</v>
      </c>
      <c r="H265" s="3">
        <v>2.6811465E-2</v>
      </c>
      <c r="I265" s="3">
        <v>2.5731510901708887E-2</v>
      </c>
      <c r="J265" s="3">
        <v>2.3955075044243213E-2</v>
      </c>
      <c r="K265" s="3">
        <v>5.6818293966049756E-3</v>
      </c>
    </row>
    <row r="266" spans="1:11" x14ac:dyDescent="0.2">
      <c r="A266" s="7">
        <f t="shared" si="15"/>
        <v>1996</v>
      </c>
      <c r="B266" s="5">
        <v>1</v>
      </c>
      <c r="C266" s="3">
        <f t="shared" si="16"/>
        <v>7.4478578835973724E-2</v>
      </c>
      <c r="D266" s="3">
        <f t="shared" si="17"/>
        <v>3.2036037993607408E-2</v>
      </c>
      <c r="E266" s="3">
        <f>G266-K266</f>
        <v>0.15490333195856362</v>
      </c>
      <c r="F266" s="3">
        <f t="shared" si="18"/>
        <v>4.0805254958563623E-2</v>
      </c>
      <c r="G266" s="3">
        <v>0.16100903</v>
      </c>
      <c r="H266" s="3">
        <v>4.6910952999999998E-2</v>
      </c>
      <c r="I266" s="3">
        <v>8.0584276877410099E-2</v>
      </c>
      <c r="J266" s="3">
        <v>3.8141736035043783E-2</v>
      </c>
      <c r="K266" s="3">
        <v>6.1056980414363757E-3</v>
      </c>
    </row>
    <row r="267" spans="1:11" x14ac:dyDescent="0.2">
      <c r="A267" s="7">
        <f t="shared" si="15"/>
        <v>1996</v>
      </c>
      <c r="B267" s="5">
        <v>2</v>
      </c>
      <c r="C267" s="3">
        <f t="shared" si="16"/>
        <v>3.873276172560005E-2</v>
      </c>
      <c r="D267" s="3">
        <f t="shared" si="17"/>
        <v>-1.3565348095169001E-3</v>
      </c>
      <c r="E267" s="3">
        <f>G267-K267</f>
        <v>0.11184890078156214</v>
      </c>
      <c r="F267" s="3">
        <f t="shared" si="18"/>
        <v>6.7172057815621427E-3</v>
      </c>
      <c r="G267" s="3">
        <v>0.11767464</v>
      </c>
      <c r="H267" s="3">
        <v>1.2542945E-2</v>
      </c>
      <c r="I267" s="3">
        <v>4.4558500944037904E-2</v>
      </c>
      <c r="J267" s="3">
        <v>4.4692044089209571E-3</v>
      </c>
      <c r="K267" s="3">
        <v>5.8257392184378571E-3</v>
      </c>
    </row>
    <row r="268" spans="1:11" x14ac:dyDescent="0.2">
      <c r="A268" s="7">
        <f t="shared" si="15"/>
        <v>1996</v>
      </c>
      <c r="B268" s="5">
        <v>3</v>
      </c>
      <c r="C268" s="3">
        <f t="shared" si="16"/>
        <v>-1.0255529546796158E-2</v>
      </c>
      <c r="D268" s="3">
        <f t="shared" si="17"/>
        <v>-2.4045579431629611E-2</v>
      </c>
      <c r="E268" s="3">
        <f>G268-K268</f>
        <v>2.0005445911221668E-3</v>
      </c>
      <c r="F268" s="3">
        <f t="shared" si="18"/>
        <v>-1.5702559008877834E-2</v>
      </c>
      <c r="G268" s="3">
        <v>8.1464493000000006E-3</v>
      </c>
      <c r="H268" s="3">
        <v>-9.5566543E-3</v>
      </c>
      <c r="I268" s="3">
        <v>-4.1096248379183242E-3</v>
      </c>
      <c r="J268" s="3">
        <v>-1.7899674722751779E-2</v>
      </c>
      <c r="K268" s="3">
        <v>6.1459047088778338E-3</v>
      </c>
    </row>
    <row r="269" spans="1:11" x14ac:dyDescent="0.2">
      <c r="A269" s="7">
        <f t="shared" si="15"/>
        <v>1996</v>
      </c>
      <c r="B269" s="5">
        <v>4</v>
      </c>
      <c r="C269" s="3">
        <f t="shared" si="16"/>
        <v>3.4037802844046811E-2</v>
      </c>
      <c r="D269" s="3">
        <f t="shared" si="17"/>
        <v>2.7357710604240554E-2</v>
      </c>
      <c r="E269" s="3">
        <f>G269-K269</f>
        <v>1.9697786891327328E-3</v>
      </c>
      <c r="F269" s="3">
        <f t="shared" si="18"/>
        <v>3.0266370689132731E-2</v>
      </c>
      <c r="G269" s="3">
        <v>7.7198049999999997E-3</v>
      </c>
      <c r="H269" s="3">
        <v>3.6016396999999999E-2</v>
      </c>
      <c r="I269" s="3">
        <v>3.9787829154914078E-2</v>
      </c>
      <c r="J269" s="3">
        <v>3.3107736915107822E-2</v>
      </c>
      <c r="K269" s="3">
        <v>5.7500263108672669E-3</v>
      </c>
    </row>
    <row r="270" spans="1:11" x14ac:dyDescent="0.2">
      <c r="A270" s="7">
        <f t="shared" si="15"/>
        <v>1996</v>
      </c>
      <c r="B270" s="5">
        <v>5</v>
      </c>
      <c r="C270" s="3">
        <f t="shared" si="16"/>
        <v>4.8521585706969135E-2</v>
      </c>
      <c r="D270" s="3">
        <f t="shared" si="17"/>
        <v>-2.0205321137026604E-2</v>
      </c>
      <c r="E270" s="3">
        <f>G270-K270</f>
        <v>0.14454833525174621</v>
      </c>
      <c r="F270" s="3">
        <f t="shared" si="18"/>
        <v>-2.3473527748253779E-2</v>
      </c>
      <c r="G270" s="3">
        <v>0.15068619999999999</v>
      </c>
      <c r="H270" s="3">
        <v>-1.7335663000000001E-2</v>
      </c>
      <c r="I270" s="3">
        <v>5.4659450455222913E-2</v>
      </c>
      <c r="J270" s="3">
        <v>-1.4067456388772825E-2</v>
      </c>
      <c r="K270" s="3">
        <v>6.1378647482537765E-3</v>
      </c>
    </row>
    <row r="271" spans="1:11" x14ac:dyDescent="0.2">
      <c r="A271" s="7">
        <f t="shared" ref="A271:A325" si="19">IF(B271=1,A270+1,A270)</f>
        <v>1996</v>
      </c>
      <c r="B271" s="5">
        <v>6</v>
      </c>
      <c r="C271" s="3">
        <f t="shared" si="16"/>
        <v>-2.2167126925688403E-2</v>
      </c>
      <c r="D271" s="3">
        <f t="shared" si="17"/>
        <v>-2.1431102513705565E-2</v>
      </c>
      <c r="E271" s="3">
        <f>G271-K271</f>
        <v>3.5167876771061979E-2</v>
      </c>
      <c r="F271" s="3">
        <f t="shared" si="18"/>
        <v>-1.0463297128938023E-2</v>
      </c>
      <c r="G271" s="3">
        <v>4.0948195999999999E-2</v>
      </c>
      <c r="H271" s="3">
        <v>-4.6829779000000004E-3</v>
      </c>
      <c r="I271" s="3">
        <v>-1.6386807696750383E-2</v>
      </c>
      <c r="J271" s="3">
        <v>-1.5650783284767544E-2</v>
      </c>
      <c r="K271" s="3">
        <v>5.7803192289380221E-3</v>
      </c>
    </row>
    <row r="272" spans="1:11" x14ac:dyDescent="0.2">
      <c r="A272" s="7">
        <f t="shared" si="19"/>
        <v>1996</v>
      </c>
      <c r="B272" s="5">
        <v>7</v>
      </c>
      <c r="C272" s="3">
        <f t="shared" si="16"/>
        <v>-5.0489323222893179E-2</v>
      </c>
      <c r="D272" s="3">
        <f t="shared" si="17"/>
        <v>-3.2015905910200815E-2</v>
      </c>
      <c r="E272" s="3">
        <f>G272-K272</f>
        <v>-4.8097998666489346E-2</v>
      </c>
      <c r="F272" s="3">
        <f t="shared" si="18"/>
        <v>-2.3340523666489352E-2</v>
      </c>
      <c r="G272" s="3">
        <v>-4.2330715999999997E-2</v>
      </c>
      <c r="H272" s="3">
        <v>-1.7573241E-2</v>
      </c>
      <c r="I272" s="3">
        <v>-4.472204055640383E-2</v>
      </c>
      <c r="J272" s="3">
        <v>-2.6248623243711466E-2</v>
      </c>
      <c r="K272" s="3">
        <v>5.767282666489351E-3</v>
      </c>
    </row>
    <row r="273" spans="1:11" x14ac:dyDescent="0.2">
      <c r="A273" s="7">
        <f t="shared" si="19"/>
        <v>1996</v>
      </c>
      <c r="B273" s="5">
        <v>8</v>
      </c>
      <c r="C273" s="3">
        <f t="shared" si="16"/>
        <v>5.6181472207778436E-2</v>
      </c>
      <c r="D273" s="3">
        <f t="shared" si="17"/>
        <v>3.3252815540663248E-2</v>
      </c>
      <c r="E273" s="3">
        <f>G273-K273</f>
        <v>5.4330613780281825E-2</v>
      </c>
      <c r="F273" s="3">
        <f t="shared" si="18"/>
        <v>3.3017693780281826E-2</v>
      </c>
      <c r="G273" s="3">
        <v>5.9647838000000002E-2</v>
      </c>
      <c r="H273" s="3">
        <v>3.8334918000000003E-2</v>
      </c>
      <c r="I273" s="3">
        <v>6.1498696427496613E-2</v>
      </c>
      <c r="J273" s="3">
        <v>3.8570039760381425E-2</v>
      </c>
      <c r="K273" s="3">
        <v>5.3172242197181774E-3</v>
      </c>
    </row>
    <row r="274" spans="1:11" x14ac:dyDescent="0.2">
      <c r="A274" s="7">
        <f t="shared" si="19"/>
        <v>1996</v>
      </c>
      <c r="B274" s="5">
        <v>9</v>
      </c>
      <c r="C274" s="3">
        <f t="shared" si="16"/>
        <v>1.6767519305508825E-2</v>
      </c>
      <c r="D274" s="3">
        <f t="shared" si="17"/>
        <v>1.6984530400787876E-2</v>
      </c>
      <c r="E274" s="3">
        <f>G274-K274</f>
        <v>3.8513339496539317E-2</v>
      </c>
      <c r="F274" s="3">
        <f t="shared" si="18"/>
        <v>1.1334162496539322E-2</v>
      </c>
      <c r="G274" s="3">
        <v>4.4143297999999997E-2</v>
      </c>
      <c r="H274" s="3">
        <v>1.6964120999999999E-2</v>
      </c>
      <c r="I274" s="3">
        <v>2.2397477808969501E-2</v>
      </c>
      <c r="J274" s="3">
        <v>2.2614488904248553E-2</v>
      </c>
      <c r="K274" s="3">
        <v>5.6299585034606768E-3</v>
      </c>
    </row>
    <row r="275" spans="1:11" x14ac:dyDescent="0.2">
      <c r="A275" s="7">
        <f t="shared" si="19"/>
        <v>1996</v>
      </c>
      <c r="B275" s="5">
        <v>10</v>
      </c>
      <c r="C275" s="3">
        <f t="shared" si="16"/>
        <v>4.5011009839855835E-2</v>
      </c>
      <c r="D275" s="3">
        <f t="shared" si="17"/>
        <v>2.4028801922243544E-2</v>
      </c>
      <c r="E275" s="3">
        <f>G275-K275</f>
        <v>0.16240265974459356</v>
      </c>
      <c r="F275" s="3">
        <f t="shared" si="18"/>
        <v>2.5191846744593554E-2</v>
      </c>
      <c r="G275" s="3">
        <v>0.16752939</v>
      </c>
      <c r="H275" s="3">
        <v>3.0318576999999999E-2</v>
      </c>
      <c r="I275" s="3">
        <v>5.0137740095262284E-2</v>
      </c>
      <c r="J275" s="3">
        <v>2.915553217764999E-2</v>
      </c>
      <c r="K275" s="3">
        <v>5.1267302554064463E-3</v>
      </c>
    </row>
    <row r="276" spans="1:11" x14ac:dyDescent="0.2">
      <c r="A276" s="7">
        <f t="shared" si="19"/>
        <v>1996</v>
      </c>
      <c r="B276" s="5">
        <v>11</v>
      </c>
      <c r="C276" s="3">
        <f t="shared" si="16"/>
        <v>7.3004918461494164E-2</v>
      </c>
      <c r="D276" s="3">
        <f t="shared" si="17"/>
        <v>1.6348385563793928E-2</v>
      </c>
      <c r="E276" s="3">
        <f>G276-K276</f>
        <v>0.18807234201879253</v>
      </c>
      <c r="F276" s="3">
        <f t="shared" si="18"/>
        <v>6.3746970187925477E-3</v>
      </c>
      <c r="G276" s="3">
        <v>0.19332970999999999</v>
      </c>
      <c r="H276" s="3">
        <v>1.1632065E-2</v>
      </c>
      <c r="I276" s="3">
        <v>7.8262286442701612E-2</v>
      </c>
      <c r="J276" s="3">
        <v>2.1605753545001383E-2</v>
      </c>
      <c r="K276" s="3">
        <v>5.2573679812074527E-3</v>
      </c>
    </row>
    <row r="277" spans="1:11" x14ac:dyDescent="0.2">
      <c r="A277" s="7">
        <f t="shared" si="19"/>
        <v>1996</v>
      </c>
      <c r="B277" s="5">
        <v>12</v>
      </c>
      <c r="C277" s="3">
        <f t="shared" si="16"/>
        <v>1.9138157006064596E-2</v>
      </c>
      <c r="D277" s="3">
        <f t="shared" si="17"/>
        <v>1.6937338520295234E-2</v>
      </c>
      <c r="E277" s="3">
        <f>G277-K277</f>
        <v>4.451495975718954E-2</v>
      </c>
      <c r="F277" s="3">
        <f t="shared" si="18"/>
        <v>2.0563965757189537E-2</v>
      </c>
      <c r="G277" s="3">
        <v>4.9136810000000003E-2</v>
      </c>
      <c r="H277" s="3">
        <v>2.5185816E-2</v>
      </c>
      <c r="I277" s="3">
        <v>2.3760007248875059E-2</v>
      </c>
      <c r="J277" s="3">
        <v>2.1559188763105697E-2</v>
      </c>
      <c r="K277" s="3">
        <v>4.6218502428104612E-3</v>
      </c>
    </row>
    <row r="278" spans="1:11" x14ac:dyDescent="0.2">
      <c r="A278" s="7">
        <f t="shared" si="19"/>
        <v>1997</v>
      </c>
      <c r="B278" s="5">
        <v>1</v>
      </c>
      <c r="C278" s="3">
        <f t="shared" si="16"/>
        <v>1.279799452335373E-2</v>
      </c>
      <c r="D278" s="3">
        <f t="shared" si="17"/>
        <v>-9.4546917217647169E-3</v>
      </c>
      <c r="E278" s="3">
        <f>G278-K278</f>
        <v>0.10504992825380935</v>
      </c>
      <c r="F278" s="3">
        <f t="shared" si="18"/>
        <v>-4.4988137561906474E-3</v>
      </c>
      <c r="G278" s="3">
        <v>0.10977012</v>
      </c>
      <c r="H278" s="3">
        <v>2.2137799000000001E-4</v>
      </c>
      <c r="I278" s="3">
        <v>1.7518186269544378E-2</v>
      </c>
      <c r="J278" s="3">
        <v>-4.7344999755740691E-3</v>
      </c>
      <c r="K278" s="3">
        <v>4.7201917461906478E-3</v>
      </c>
    </row>
    <row r="279" spans="1:11" x14ac:dyDescent="0.2">
      <c r="A279" s="7">
        <f t="shared" si="19"/>
        <v>1997</v>
      </c>
      <c r="B279" s="5">
        <v>2</v>
      </c>
      <c r="C279" s="3">
        <f t="shared" si="16"/>
        <v>3.7859093816699475E-2</v>
      </c>
      <c r="D279" s="3">
        <f t="shared" si="17"/>
        <v>1.0250715452661076E-2</v>
      </c>
      <c r="E279" s="3">
        <f>G279-K279</f>
        <v>6.3439233025606806E-2</v>
      </c>
      <c r="F279" s="3">
        <f t="shared" si="18"/>
        <v>1.6627734025606817E-2</v>
      </c>
      <c r="G279" s="3">
        <v>6.8076424999999996E-2</v>
      </c>
      <c r="H279" s="3">
        <v>2.1264926E-2</v>
      </c>
      <c r="I279" s="3">
        <v>4.2496285791092658E-2</v>
      </c>
      <c r="J279" s="3">
        <v>1.4887907427054259E-2</v>
      </c>
      <c r="K279" s="3">
        <v>4.6371919743931839E-3</v>
      </c>
    </row>
    <row r="280" spans="1:11" x14ac:dyDescent="0.2">
      <c r="A280" s="7">
        <f t="shared" si="19"/>
        <v>1997</v>
      </c>
      <c r="B280" s="5">
        <v>3</v>
      </c>
      <c r="C280" s="3">
        <f t="shared" si="16"/>
        <v>-2.8567915908494654E-2</v>
      </c>
      <c r="D280" s="3">
        <f t="shared" si="17"/>
        <v>-1.0517738070862355E-2</v>
      </c>
      <c r="E280" s="3">
        <f>G280-K280</f>
        <v>-4.0785544540954718E-2</v>
      </c>
      <c r="F280" s="3">
        <f t="shared" si="18"/>
        <v>-1.7147720540954717E-2</v>
      </c>
      <c r="G280" s="3">
        <v>-3.5828943000000002E-2</v>
      </c>
      <c r="H280" s="3">
        <v>-1.2191119E-2</v>
      </c>
      <c r="I280" s="3">
        <v>-2.3611314367539937E-2</v>
      </c>
      <c r="J280" s="3">
        <v>-5.5611365299076398E-3</v>
      </c>
      <c r="K280" s="3">
        <v>4.9566015409547148E-3</v>
      </c>
    </row>
    <row r="281" spans="1:11" x14ac:dyDescent="0.2">
      <c r="A281" s="7">
        <f t="shared" si="19"/>
        <v>1997</v>
      </c>
      <c r="B281" s="5">
        <v>4</v>
      </c>
      <c r="C281" s="3">
        <f t="shared" si="16"/>
        <v>-3.9040326657091139E-2</v>
      </c>
      <c r="D281" s="3">
        <f t="shared" si="17"/>
        <v>1.4472429044093273E-2</v>
      </c>
      <c r="E281" s="3">
        <f>G281-K281</f>
        <v>-6.9917096252611874E-2</v>
      </c>
      <c r="F281" s="3">
        <f t="shared" si="18"/>
        <v>1.6517494747388128E-2</v>
      </c>
      <c r="G281" s="3">
        <v>-6.5348962999999996E-2</v>
      </c>
      <c r="H281" s="3">
        <v>2.1085627999999999E-2</v>
      </c>
      <c r="I281" s="3">
        <v>-3.4472193404479268E-2</v>
      </c>
      <c r="J281" s="3">
        <v>1.9040562296705144E-2</v>
      </c>
      <c r="K281" s="3">
        <v>4.5681332526118718E-3</v>
      </c>
    </row>
    <row r="282" spans="1:11" x14ac:dyDescent="0.2">
      <c r="A282" s="7">
        <f t="shared" si="19"/>
        <v>1997</v>
      </c>
      <c r="B282" s="5">
        <v>5</v>
      </c>
      <c r="C282" s="3">
        <f t="shared" si="16"/>
        <v>5.0476518120258586E-2</v>
      </c>
      <c r="D282" s="3">
        <f t="shared" si="17"/>
        <v>5.137153396191222E-2</v>
      </c>
      <c r="E282" s="3">
        <f>G282-K282</f>
        <v>8.5678296941791923E-2</v>
      </c>
      <c r="F282" s="3">
        <f t="shared" si="18"/>
        <v>3.850006994179192E-2</v>
      </c>
      <c r="G282" s="3">
        <v>9.0145115999999997E-2</v>
      </c>
      <c r="H282" s="3">
        <v>4.2966889000000001E-2</v>
      </c>
      <c r="I282" s="3">
        <v>5.4943337178466667E-2</v>
      </c>
      <c r="J282" s="3">
        <v>5.5838353020120302E-2</v>
      </c>
      <c r="K282" s="3">
        <v>4.4668190582080785E-3</v>
      </c>
    </row>
    <row r="283" spans="1:11" x14ac:dyDescent="0.2">
      <c r="A283" s="7">
        <f t="shared" si="19"/>
        <v>1997</v>
      </c>
      <c r="B283" s="5">
        <v>6</v>
      </c>
      <c r="C283" s="3">
        <f t="shared" si="16"/>
        <v>-2.4963945011642702E-2</v>
      </c>
      <c r="D283" s="3">
        <f t="shared" si="17"/>
        <v>3.293613699929529E-2</v>
      </c>
      <c r="E283" s="3">
        <f>G283-K283</f>
        <v>-5.1621751998141832E-3</v>
      </c>
      <c r="F283" s="3">
        <f t="shared" si="18"/>
        <v>3.3789470300185816E-2</v>
      </c>
      <c r="G283" s="3">
        <v>-1.0326685E-3</v>
      </c>
      <c r="H283" s="3">
        <v>3.7918977E-2</v>
      </c>
      <c r="I283" s="3">
        <v>-2.0834438311828518E-2</v>
      </c>
      <c r="J283" s="3">
        <v>3.7065643699109474E-2</v>
      </c>
      <c r="K283" s="3">
        <v>4.129506699814183E-3</v>
      </c>
    </row>
    <row r="284" spans="1:11" x14ac:dyDescent="0.2">
      <c r="A284" s="7">
        <f t="shared" si="19"/>
        <v>1997</v>
      </c>
      <c r="B284" s="5">
        <v>7</v>
      </c>
      <c r="C284" s="3">
        <f t="shared" si="16"/>
        <v>-1.4450217974589525E-2</v>
      </c>
      <c r="D284" s="3">
        <f t="shared" si="17"/>
        <v>-4.3652299127188892E-3</v>
      </c>
      <c r="E284" s="3">
        <f>G284-K284</f>
        <v>6.4367848898141705E-2</v>
      </c>
      <c r="F284" s="3">
        <f t="shared" si="18"/>
        <v>1.118526098141703E-3</v>
      </c>
      <c r="G284" s="3">
        <v>6.8457432999999998E-2</v>
      </c>
      <c r="H284" s="3">
        <v>5.2081102000000002E-3</v>
      </c>
      <c r="I284" s="3">
        <v>-1.0360633872731229E-2</v>
      </c>
      <c r="J284" s="3">
        <v>-2.7564581086059192E-4</v>
      </c>
      <c r="K284" s="3">
        <v>4.0895841018582972E-3</v>
      </c>
    </row>
    <row r="285" spans="1:11" x14ac:dyDescent="0.2">
      <c r="A285" s="7">
        <f t="shared" si="19"/>
        <v>1997</v>
      </c>
      <c r="B285" s="5">
        <v>8</v>
      </c>
      <c r="C285" s="3">
        <f t="shared" si="16"/>
        <v>-2.4783093979121526E-2</v>
      </c>
      <c r="D285" s="3">
        <f t="shared" si="17"/>
        <v>-4.8430781796025599E-2</v>
      </c>
      <c r="E285" s="3">
        <f>G285-K285</f>
        <v>-1.9394429003426989E-2</v>
      </c>
      <c r="F285" s="3">
        <f t="shared" si="18"/>
        <v>-5.7025471003426989E-2</v>
      </c>
      <c r="G285" s="3">
        <v>-1.5550812000000001E-2</v>
      </c>
      <c r="H285" s="3">
        <v>-5.3181854000000001E-2</v>
      </c>
      <c r="I285" s="3">
        <v>-2.0939476975694538E-2</v>
      </c>
      <c r="J285" s="3">
        <v>-4.458716479259861E-2</v>
      </c>
      <c r="K285" s="3">
        <v>3.8436170034269889E-3</v>
      </c>
    </row>
    <row r="286" spans="1:11" x14ac:dyDescent="0.2">
      <c r="A286" s="7">
        <f t="shared" si="19"/>
        <v>1997</v>
      </c>
      <c r="B286" s="5">
        <v>9</v>
      </c>
      <c r="C286" s="3">
        <f t="shared" si="16"/>
        <v>2.3131331562939318E-2</v>
      </c>
      <c r="D286" s="3">
        <f t="shared" si="17"/>
        <v>6.2889907144597162E-2</v>
      </c>
      <c r="E286" s="3">
        <f>G286-K286</f>
        <v>3.3752974098052384E-2</v>
      </c>
      <c r="F286" s="3">
        <f t="shared" si="18"/>
        <v>5.0744422098052383E-2</v>
      </c>
      <c r="G286" s="3">
        <v>3.7661605000000001E-2</v>
      </c>
      <c r="H286" s="3">
        <v>5.4653053E-2</v>
      </c>
      <c r="I286" s="3">
        <v>2.7039962464886935E-2</v>
      </c>
      <c r="J286" s="3">
        <v>6.6798538046544786E-2</v>
      </c>
      <c r="K286" s="3">
        <v>3.9086309019476188E-3</v>
      </c>
    </row>
    <row r="287" spans="1:11" x14ac:dyDescent="0.2">
      <c r="A287" s="7">
        <f t="shared" si="19"/>
        <v>1997</v>
      </c>
      <c r="B287" s="5">
        <v>10</v>
      </c>
      <c r="C287" s="3">
        <f t="shared" si="16"/>
        <v>-0.13650320944255667</v>
      </c>
      <c r="D287" s="3">
        <f t="shared" si="17"/>
        <v>-0.10075895931587242</v>
      </c>
      <c r="E287" s="3">
        <f>G287-K287</f>
        <v>-7.9939964428554069E-2</v>
      </c>
      <c r="F287" s="3">
        <f t="shared" si="18"/>
        <v>-0.11993889742855407</v>
      </c>
      <c r="G287" s="3">
        <v>-7.6104087000000001E-2</v>
      </c>
      <c r="H287" s="3">
        <v>-0.11610302</v>
      </c>
      <c r="I287" s="3">
        <v>-0.1326673320140026</v>
      </c>
      <c r="J287" s="3">
        <v>-9.6923081887318352E-2</v>
      </c>
      <c r="K287" s="3">
        <v>3.8358774285540752E-3</v>
      </c>
    </row>
    <row r="288" spans="1:11" x14ac:dyDescent="0.2">
      <c r="A288" s="7">
        <f t="shared" si="19"/>
        <v>1997</v>
      </c>
      <c r="B288" s="5">
        <v>11</v>
      </c>
      <c r="C288" s="3">
        <f t="shared" si="16"/>
        <v>-3.6767423062210057E-2</v>
      </c>
      <c r="D288" s="3">
        <f t="shared" si="17"/>
        <v>-2.8524637325525685E-3</v>
      </c>
      <c r="E288" s="3">
        <f>G288-K288</f>
        <v>3.8909690704196004E-2</v>
      </c>
      <c r="F288" s="3">
        <f t="shared" si="18"/>
        <v>-2.5047386295803997E-2</v>
      </c>
      <c r="G288" s="3">
        <v>4.3040351999999997E-2</v>
      </c>
      <c r="H288" s="3">
        <v>-2.0916725000000001E-2</v>
      </c>
      <c r="I288" s="3">
        <v>-3.2636761766406064E-2</v>
      </c>
      <c r="J288" s="3">
        <v>1.2781975632514264E-3</v>
      </c>
      <c r="K288" s="3">
        <v>4.1306612958039949E-3</v>
      </c>
    </row>
    <row r="289" spans="1:11" x14ac:dyDescent="0.2">
      <c r="A289" s="7">
        <f t="shared" si="19"/>
        <v>1997</v>
      </c>
      <c r="B289" s="5">
        <v>12</v>
      </c>
      <c r="C289" s="3">
        <f t="shared" si="16"/>
        <v>3.6129666509018721E-2</v>
      </c>
      <c r="D289" s="3">
        <f t="shared" si="17"/>
        <v>5.1588304218654457E-2</v>
      </c>
      <c r="E289" s="3">
        <f>G289-K289</f>
        <v>2.796882883363834E-2</v>
      </c>
      <c r="F289" s="3">
        <f t="shared" si="18"/>
        <v>5.6315732833638339E-2</v>
      </c>
      <c r="G289" s="3">
        <v>3.1905268000000001E-2</v>
      </c>
      <c r="H289" s="3">
        <v>6.0252172E-2</v>
      </c>
      <c r="I289" s="3">
        <v>4.0066105675380381E-2</v>
      </c>
      <c r="J289" s="3">
        <v>5.5524743385016118E-2</v>
      </c>
      <c r="K289" s="3">
        <v>3.9364391663616605E-3</v>
      </c>
    </row>
    <row r="290" spans="1:11" x14ac:dyDescent="0.2">
      <c r="A290" s="7">
        <f t="shared" si="19"/>
        <v>1998</v>
      </c>
      <c r="B290" s="5">
        <v>1</v>
      </c>
      <c r="C290" s="3">
        <f t="shared" si="16"/>
        <v>7.2717373001511378E-3</v>
      </c>
      <c r="D290" s="3">
        <f t="shared" si="17"/>
        <v>3.2085213004570791E-3</v>
      </c>
      <c r="E290" s="3">
        <f>G290-K290</f>
        <v>6.4602929866823894E-2</v>
      </c>
      <c r="F290" s="3">
        <f t="shared" si="18"/>
        <v>8.3692528668238945E-3</v>
      </c>
      <c r="G290" s="3">
        <v>6.8766439999999998E-2</v>
      </c>
      <c r="H290" s="3">
        <v>1.2532763000000001E-2</v>
      </c>
      <c r="I290" s="3">
        <v>1.1435247433327245E-2</v>
      </c>
      <c r="J290" s="3">
        <v>7.372031433633186E-3</v>
      </c>
      <c r="K290" s="3">
        <v>4.1635101331761069E-3</v>
      </c>
    </row>
    <row r="291" spans="1:11" x14ac:dyDescent="0.2">
      <c r="A291" s="7">
        <f t="shared" si="19"/>
        <v>1998</v>
      </c>
      <c r="B291" s="5">
        <v>2</v>
      </c>
      <c r="C291" s="3">
        <f t="shared" si="16"/>
        <v>2.7857163149687628E-2</v>
      </c>
      <c r="D291" s="3">
        <f t="shared" si="17"/>
        <v>1.8266601001036456E-2</v>
      </c>
      <c r="E291" s="3">
        <f>G291-K291</f>
        <v>0.12902240490893338</v>
      </c>
      <c r="F291" s="3">
        <f t="shared" si="18"/>
        <v>1.0808674908933369E-2</v>
      </c>
      <c r="G291" s="3">
        <v>0.13292018</v>
      </c>
      <c r="H291" s="3">
        <v>1.4706449999999999E-2</v>
      </c>
      <c r="I291" s="3">
        <v>3.175493824075426E-2</v>
      </c>
      <c r="J291" s="3">
        <v>2.2164376092103089E-2</v>
      </c>
      <c r="K291" s="3">
        <v>3.8977750910666308E-3</v>
      </c>
    </row>
    <row r="292" spans="1:11" x14ac:dyDescent="0.2">
      <c r="A292" s="7">
        <f t="shared" si="19"/>
        <v>1998</v>
      </c>
      <c r="B292" s="5">
        <v>3</v>
      </c>
      <c r="C292" s="3">
        <f t="shared" si="16"/>
        <v>-2.3450085195650637E-2</v>
      </c>
      <c r="D292" s="3">
        <f t="shared" si="17"/>
        <v>3.3330698372747804E-2</v>
      </c>
      <c r="E292" s="3">
        <f>G292-K292</f>
        <v>-3.0745353295803995E-2</v>
      </c>
      <c r="F292" s="3">
        <f t="shared" si="18"/>
        <v>1.8820136704196008E-2</v>
      </c>
      <c r="G292" s="3">
        <v>-2.6614691999999999E-2</v>
      </c>
      <c r="H292" s="3">
        <v>2.2950798000000001E-2</v>
      </c>
      <c r="I292" s="3">
        <v>-1.9319423899846644E-2</v>
      </c>
      <c r="J292" s="3">
        <v>3.7461359668551797E-2</v>
      </c>
      <c r="K292" s="3">
        <v>4.1306612958039949E-3</v>
      </c>
    </row>
    <row r="293" spans="1:11" x14ac:dyDescent="0.2">
      <c r="A293" s="7">
        <f t="shared" si="19"/>
        <v>1998</v>
      </c>
      <c r="B293" s="5">
        <v>4</v>
      </c>
      <c r="C293" s="3">
        <f t="shared" si="16"/>
        <v>2.8604540834971039E-3</v>
      </c>
      <c r="D293" s="3">
        <f t="shared" si="17"/>
        <v>1.1645787090481134E-2</v>
      </c>
      <c r="E293" s="3">
        <f>G293-K293</f>
        <v>9.4499371445924425E-5</v>
      </c>
      <c r="F293" s="3">
        <f t="shared" si="18"/>
        <v>1.2044782571445926E-2</v>
      </c>
      <c r="G293" s="3">
        <v>3.9303767999999996E-3</v>
      </c>
      <c r="H293" s="3">
        <v>1.5880660000000001E-2</v>
      </c>
      <c r="I293" s="3">
        <v>6.696331512051179E-3</v>
      </c>
      <c r="J293" s="3">
        <v>1.548166451903521E-2</v>
      </c>
      <c r="K293" s="3">
        <v>3.8358774285540752E-3</v>
      </c>
    </row>
    <row r="294" spans="1:11" x14ac:dyDescent="0.2">
      <c r="A294" s="7">
        <f t="shared" si="19"/>
        <v>1998</v>
      </c>
      <c r="B294" s="5">
        <v>5</v>
      </c>
      <c r="C294" s="3">
        <f t="shared" si="16"/>
        <v>-4.3005815509551334E-2</v>
      </c>
      <c r="D294" s="3">
        <f t="shared" si="17"/>
        <v>-1.1541920045431909E-2</v>
      </c>
      <c r="E294" s="3">
        <f>G294-K294</f>
        <v>1.0395089508124112E-3</v>
      </c>
      <c r="F294" s="3">
        <f t="shared" si="18"/>
        <v>-2.2869945149187589E-2</v>
      </c>
      <c r="G294" s="3">
        <v>5.1865961000000004E-3</v>
      </c>
      <c r="H294" s="3">
        <v>-1.8722857999999998E-2</v>
      </c>
      <c r="I294" s="3">
        <v>-3.8858728360363748E-2</v>
      </c>
      <c r="J294" s="3">
        <v>-7.3948328962443188E-3</v>
      </c>
      <c r="K294" s="3">
        <v>4.1470871491875892E-3</v>
      </c>
    </row>
    <row r="295" spans="1:11" x14ac:dyDescent="0.2">
      <c r="A295" s="7">
        <f t="shared" si="19"/>
        <v>1998</v>
      </c>
      <c r="B295" s="5">
        <v>6</v>
      </c>
      <c r="C295" s="3">
        <f t="shared" si="16"/>
        <v>-0.12314747910855595</v>
      </c>
      <c r="D295" s="3">
        <f t="shared" si="17"/>
        <v>-3.3443028888866855E-2</v>
      </c>
      <c r="E295" s="3">
        <f>G295-K295</f>
        <v>-0.1995718300701389</v>
      </c>
      <c r="F295" s="3">
        <f t="shared" si="18"/>
        <v>-7.1132011070138904E-2</v>
      </c>
      <c r="G295" s="3">
        <v>-0.19561993</v>
      </c>
      <c r="H295" s="3">
        <v>-6.7180111000000001E-2</v>
      </c>
      <c r="I295" s="3">
        <v>-0.11919557903841704</v>
      </c>
      <c r="J295" s="3">
        <v>-2.9491128818727952E-2</v>
      </c>
      <c r="K295" s="3">
        <v>3.9519000701389029E-3</v>
      </c>
    </row>
    <row r="296" spans="1:11" x14ac:dyDescent="0.2">
      <c r="A296" s="7">
        <f t="shared" si="19"/>
        <v>1998</v>
      </c>
      <c r="B296" s="5">
        <v>7</v>
      </c>
      <c r="C296" s="3">
        <f t="shared" si="16"/>
        <v>9.5758988835820971E-2</v>
      </c>
      <c r="D296" s="3">
        <f t="shared" si="17"/>
        <v>1.2501889065854987E-2</v>
      </c>
      <c r="E296" s="3">
        <f>G296-K296</f>
        <v>0.2154526828508124</v>
      </c>
      <c r="F296" s="3">
        <f t="shared" si="18"/>
        <v>1.348728185081241E-2</v>
      </c>
      <c r="G296" s="3">
        <v>0.21959977</v>
      </c>
      <c r="H296" s="3">
        <v>1.7634369E-2</v>
      </c>
      <c r="I296" s="3">
        <v>9.9906075985008558E-2</v>
      </c>
      <c r="J296" s="3">
        <v>1.6648976215042577E-2</v>
      </c>
      <c r="K296" s="3">
        <v>4.1470871491875892E-3</v>
      </c>
    </row>
    <row r="297" spans="1:11" x14ac:dyDescent="0.2">
      <c r="A297" s="7">
        <f t="shared" si="19"/>
        <v>1998</v>
      </c>
      <c r="B297" s="5">
        <v>8</v>
      </c>
      <c r="C297" s="3">
        <f t="shared" si="16"/>
        <v>-9.9576808497511007E-2</v>
      </c>
      <c r="D297" s="3">
        <f t="shared" si="17"/>
        <v>-7.6798549810616026E-2</v>
      </c>
      <c r="E297" s="3">
        <f>G297-K297</f>
        <v>-4.785801356231148E-2</v>
      </c>
      <c r="F297" s="3">
        <f t="shared" si="18"/>
        <v>-8.8868794562311476E-2</v>
      </c>
      <c r="G297" s="3">
        <v>-4.3937037999999998E-2</v>
      </c>
      <c r="H297" s="3">
        <v>-8.4947818999999994E-2</v>
      </c>
      <c r="I297" s="3">
        <v>-9.5655832935199525E-2</v>
      </c>
      <c r="J297" s="3">
        <v>-7.2877574248304544E-2</v>
      </c>
      <c r="K297" s="3">
        <v>3.9209755623114797E-3</v>
      </c>
    </row>
    <row r="298" spans="1:11" x14ac:dyDescent="0.2">
      <c r="A298" s="7">
        <f t="shared" si="19"/>
        <v>1998</v>
      </c>
      <c r="B298" s="5">
        <v>9</v>
      </c>
      <c r="C298" s="3">
        <f t="shared" si="16"/>
        <v>2.3943794063766573E-2</v>
      </c>
      <c r="D298" s="3">
        <f t="shared" si="17"/>
        <v>3.2368976696055325E-2</v>
      </c>
      <c r="E298" s="3">
        <f>G298-K298</f>
        <v>2.7679367802669386E-2</v>
      </c>
      <c r="F298" s="3">
        <f t="shared" si="18"/>
        <v>5.2206588802669388E-2</v>
      </c>
      <c r="G298" s="3">
        <v>3.1752516000000001E-2</v>
      </c>
      <c r="H298" s="3">
        <v>5.6279737000000003E-2</v>
      </c>
      <c r="I298" s="3">
        <v>2.8016942261097189E-2</v>
      </c>
      <c r="J298" s="3">
        <v>3.6442124893385941E-2</v>
      </c>
      <c r="K298" s="3">
        <v>4.0731481973306158E-3</v>
      </c>
    </row>
    <row r="299" spans="1:11" x14ac:dyDescent="0.2">
      <c r="A299" s="7">
        <f t="shared" si="19"/>
        <v>1998</v>
      </c>
      <c r="B299" s="5">
        <v>10</v>
      </c>
      <c r="C299" s="3">
        <f t="shared" si="16"/>
        <v>1.1984055107899452E-2</v>
      </c>
      <c r="D299" s="3">
        <f t="shared" si="17"/>
        <v>1.9891754157792645E-2</v>
      </c>
      <c r="E299" s="3">
        <f>G299-K299</f>
        <v>-1.832862253531296E-2</v>
      </c>
      <c r="F299" s="3">
        <f t="shared" si="18"/>
        <v>2.8119734464687039E-2</v>
      </c>
      <c r="G299" s="3">
        <v>-1.4608919999999999E-2</v>
      </c>
      <c r="H299" s="3">
        <v>3.1839436999999998E-2</v>
      </c>
      <c r="I299" s="3">
        <v>1.5703757643212413E-2</v>
      </c>
      <c r="J299" s="3">
        <v>2.3611456693105604E-2</v>
      </c>
      <c r="K299" s="3">
        <v>3.7197025353129607E-3</v>
      </c>
    </row>
    <row r="300" spans="1:11" x14ac:dyDescent="0.2">
      <c r="A300" s="7">
        <f t="shared" si="19"/>
        <v>1998</v>
      </c>
      <c r="B300" s="5">
        <v>11</v>
      </c>
      <c r="C300" s="3">
        <f t="shared" si="16"/>
        <v>8.1624413836383428E-2</v>
      </c>
      <c r="D300" s="3">
        <f t="shared" si="17"/>
        <v>4.4914551166182932E-2</v>
      </c>
      <c r="E300" s="3">
        <f>G300-K300</f>
        <v>8.6303555771781088E-2</v>
      </c>
      <c r="F300" s="3">
        <f t="shared" si="18"/>
        <v>3.4515562771781083E-2</v>
      </c>
      <c r="G300" s="3">
        <v>9.0253343E-2</v>
      </c>
      <c r="H300" s="3">
        <v>3.8465350000000002E-2</v>
      </c>
      <c r="I300" s="3">
        <v>8.557420106460234E-2</v>
      </c>
      <c r="J300" s="3">
        <v>4.8864338394401852E-2</v>
      </c>
      <c r="K300" s="3">
        <v>3.9497872282189175E-3</v>
      </c>
    </row>
    <row r="301" spans="1:11" x14ac:dyDescent="0.2">
      <c r="A301" s="7">
        <f t="shared" si="19"/>
        <v>1998</v>
      </c>
      <c r="B301" s="5">
        <v>12</v>
      </c>
      <c r="C301" s="3">
        <f t="shared" si="16"/>
        <v>1.4373104138586532E-2</v>
      </c>
      <c r="D301" s="3">
        <f t="shared" si="17"/>
        <v>1.8652410443535192E-2</v>
      </c>
      <c r="E301" s="3">
        <f>G301-K301</f>
        <v>6.0183374850148741E-2</v>
      </c>
      <c r="F301" s="3">
        <f t="shared" si="18"/>
        <v>-6.2272694498512506E-3</v>
      </c>
      <c r="G301" s="3">
        <v>6.3802268999999995E-2</v>
      </c>
      <c r="H301" s="3">
        <v>-2.6083753000000001E-3</v>
      </c>
      <c r="I301" s="3">
        <v>1.7991998288437783E-2</v>
      </c>
      <c r="J301" s="3">
        <v>2.2271304593386443E-2</v>
      </c>
      <c r="K301" s="3">
        <v>3.6188941498512504E-3</v>
      </c>
    </row>
    <row r="302" spans="1:11" x14ac:dyDescent="0.2">
      <c r="A302" s="7">
        <f t="shared" si="19"/>
        <v>1999</v>
      </c>
      <c r="B302" s="5">
        <v>1</v>
      </c>
      <c r="C302" s="3">
        <f t="shared" si="16"/>
        <v>4.2800747066931578E-2</v>
      </c>
      <c r="D302" s="3">
        <f t="shared" si="17"/>
        <v>1.3531783842718225E-2</v>
      </c>
      <c r="E302" s="3">
        <f>G302-K302</f>
        <v>0.12307553909805238</v>
      </c>
      <c r="F302" s="3">
        <f t="shared" si="18"/>
        <v>2.190817709805238E-2</v>
      </c>
      <c r="G302" s="3">
        <v>0.12698417000000001</v>
      </c>
      <c r="H302" s="3">
        <v>2.5816808E-2</v>
      </c>
      <c r="I302" s="3">
        <v>4.6709377968879195E-2</v>
      </c>
      <c r="J302" s="3">
        <v>1.7440414744665844E-2</v>
      </c>
      <c r="K302" s="3">
        <v>3.9086309019476188E-3</v>
      </c>
    </row>
    <row r="303" spans="1:11" x14ac:dyDescent="0.2">
      <c r="A303" s="7">
        <f t="shared" si="19"/>
        <v>1999</v>
      </c>
      <c r="B303" s="5">
        <v>2</v>
      </c>
      <c r="C303" s="3">
        <f t="shared" si="16"/>
        <v>4.5337911293253937E-2</v>
      </c>
      <c r="D303" s="3">
        <f t="shared" si="17"/>
        <v>7.2077824437924431E-6</v>
      </c>
      <c r="E303" s="3">
        <f>G303-K303</f>
        <v>0.21517794075031796</v>
      </c>
      <c r="F303" s="3">
        <f t="shared" si="18"/>
        <v>1.9145562503179638E-3</v>
      </c>
      <c r="G303" s="3">
        <v>0.21887439</v>
      </c>
      <c r="H303" s="3">
        <v>5.6110055000000002E-3</v>
      </c>
      <c r="I303" s="3">
        <v>4.9034360542935973E-2</v>
      </c>
      <c r="J303" s="3">
        <v>3.7036570321258289E-3</v>
      </c>
      <c r="K303" s="3">
        <v>3.6964492496820364E-3</v>
      </c>
    </row>
    <row r="304" spans="1:11" x14ac:dyDescent="0.2">
      <c r="A304" s="7">
        <f t="shared" si="19"/>
        <v>1999</v>
      </c>
      <c r="B304" s="5">
        <v>3</v>
      </c>
      <c r="C304" s="3">
        <f t="shared" si="16"/>
        <v>1.6750239635476144E-4</v>
      </c>
      <c r="D304" s="3">
        <f t="shared" si="17"/>
        <v>2.534035228945463E-2</v>
      </c>
      <c r="E304" s="3">
        <f>G304-K304</f>
        <v>9.6510214404976813E-2</v>
      </c>
      <c r="F304" s="3">
        <f t="shared" si="18"/>
        <v>2.2876448404976806E-2</v>
      </c>
      <c r="G304" s="3">
        <v>0.10043531</v>
      </c>
      <c r="H304" s="3">
        <v>2.6801544E-2</v>
      </c>
      <c r="I304" s="3">
        <v>4.0925979913779553E-3</v>
      </c>
      <c r="J304" s="3">
        <v>2.9265447884477824E-2</v>
      </c>
      <c r="K304" s="3">
        <v>3.9250955950231939E-3</v>
      </c>
    </row>
    <row r="305" spans="1:11" x14ac:dyDescent="0.2">
      <c r="A305" s="7">
        <f t="shared" si="19"/>
        <v>1999</v>
      </c>
      <c r="B305" s="5">
        <v>4</v>
      </c>
      <c r="C305" s="3">
        <f t="shared" si="16"/>
        <v>9.0002653653151049E-2</v>
      </c>
      <c r="D305" s="3">
        <f t="shared" si="17"/>
        <v>4.2181382790013905E-2</v>
      </c>
      <c r="E305" s="3">
        <f>G305-K305</f>
        <v>0.25399495463641703</v>
      </c>
      <c r="F305" s="3">
        <f t="shared" si="18"/>
        <v>3.7638989636416979E-2</v>
      </c>
      <c r="G305" s="3">
        <v>0.25766039000000002</v>
      </c>
      <c r="H305" s="3">
        <v>4.1304424999999999E-2</v>
      </c>
      <c r="I305" s="3">
        <v>9.3668089016734069E-2</v>
      </c>
      <c r="J305" s="3">
        <v>4.5846818153596924E-2</v>
      </c>
      <c r="K305" s="3">
        <v>3.6654353635830182E-3</v>
      </c>
    </row>
    <row r="306" spans="1:11" x14ac:dyDescent="0.2">
      <c r="A306" s="7">
        <f t="shared" si="19"/>
        <v>1999</v>
      </c>
      <c r="B306" s="5">
        <v>5</v>
      </c>
      <c r="C306" s="3">
        <f t="shared" si="16"/>
        <v>-4.613520114218601E-3</v>
      </c>
      <c r="D306" s="3">
        <f t="shared" si="17"/>
        <v>-6.476924120952314E-2</v>
      </c>
      <c r="E306" s="3">
        <f>G306-K306</f>
        <v>0.12030429313985459</v>
      </c>
      <c r="F306" s="3">
        <f t="shared" si="18"/>
        <v>-5.5931527860145401E-2</v>
      </c>
      <c r="G306" s="3">
        <v>0.12423761999999999</v>
      </c>
      <c r="H306" s="3">
        <v>-5.1998201000000001E-2</v>
      </c>
      <c r="I306" s="3">
        <v>-6.8019325407320252E-4</v>
      </c>
      <c r="J306" s="3">
        <v>-6.083591434937774E-2</v>
      </c>
      <c r="K306" s="3">
        <v>3.9333268601453985E-3</v>
      </c>
    </row>
    <row r="307" spans="1:11" x14ac:dyDescent="0.2">
      <c r="A307" s="7">
        <f t="shared" si="19"/>
        <v>1999</v>
      </c>
      <c r="B307" s="5">
        <v>6</v>
      </c>
      <c r="C307" s="3">
        <f t="shared" si="16"/>
        <v>-2.1825923453605074E-2</v>
      </c>
      <c r="D307" s="3">
        <f t="shared" si="17"/>
        <v>1.8248301213289068E-2</v>
      </c>
      <c r="E307" s="3">
        <f>G307-K307</f>
        <v>-3.896694811880088E-2</v>
      </c>
      <c r="F307" s="3">
        <f t="shared" si="18"/>
        <v>1.5040777881199114E-2</v>
      </c>
      <c r="G307" s="3">
        <v>-3.5254995999999997E-2</v>
      </c>
      <c r="H307" s="3">
        <v>1.8752729999999999E-2</v>
      </c>
      <c r="I307" s="3">
        <v>-1.8113971334804191E-2</v>
      </c>
      <c r="J307" s="3">
        <v>2.1960253332089952E-2</v>
      </c>
      <c r="K307" s="3">
        <v>3.7119521188008851E-3</v>
      </c>
    </row>
    <row r="308" spans="1:11" x14ac:dyDescent="0.2">
      <c r="A308" s="7">
        <f t="shared" si="19"/>
        <v>1999</v>
      </c>
      <c r="B308" s="5">
        <v>7</v>
      </c>
      <c r="C308" s="3">
        <f t="shared" si="16"/>
        <v>0.11803941231243038</v>
      </c>
      <c r="D308" s="3">
        <f t="shared" si="17"/>
        <v>1.2500714805091248E-2</v>
      </c>
      <c r="E308" s="3">
        <f>G308-K308</f>
        <v>0.36025754259550008</v>
      </c>
      <c r="F308" s="3">
        <f t="shared" si="18"/>
        <v>2.8216984595500087E-2</v>
      </c>
      <c r="G308" s="3">
        <v>0.3641991</v>
      </c>
      <c r="H308" s="3">
        <v>3.2158541999999998E-2</v>
      </c>
      <c r="I308" s="3">
        <v>0.12198096971693029</v>
      </c>
      <c r="J308" s="3">
        <v>1.6442272209591158E-2</v>
      </c>
      <c r="K308" s="3">
        <v>3.9415574044999093E-3</v>
      </c>
    </row>
    <row r="309" spans="1:11" x14ac:dyDescent="0.2">
      <c r="A309" s="7">
        <f t="shared" si="19"/>
        <v>1999</v>
      </c>
      <c r="B309" s="5">
        <v>8</v>
      </c>
      <c r="C309" s="3">
        <f t="shared" si="16"/>
        <v>-1.1653707570437929E-5</v>
      </c>
      <c r="D309" s="3">
        <f t="shared" si="17"/>
        <v>-1.3434533527639727E-2</v>
      </c>
      <c r="E309" s="3">
        <f>G309-K309</f>
        <v>-1.3203971217275342E-2</v>
      </c>
      <c r="F309" s="3">
        <f t="shared" si="18"/>
        <v>-3.8249867762753412E-3</v>
      </c>
      <c r="G309" s="3">
        <v>-9.4532738000000002E-3</v>
      </c>
      <c r="H309" s="3">
        <v>-7.4289358999999995E-5</v>
      </c>
      <c r="I309" s="3">
        <v>3.7390437097049034E-3</v>
      </c>
      <c r="J309" s="3">
        <v>-9.6838361103643855E-3</v>
      </c>
      <c r="K309" s="3">
        <v>3.7506974172753413E-3</v>
      </c>
    </row>
    <row r="310" spans="1:11" x14ac:dyDescent="0.2">
      <c r="A310" s="7">
        <f t="shared" si="19"/>
        <v>1999</v>
      </c>
      <c r="B310" s="5">
        <v>9</v>
      </c>
      <c r="C310" s="3">
        <f t="shared" si="16"/>
        <v>2.8236655827330294E-2</v>
      </c>
      <c r="D310" s="3">
        <f t="shared" si="17"/>
        <v>-8.4523532701974088E-3</v>
      </c>
      <c r="E310" s="3">
        <f>G310-K310</f>
        <v>6.3208160172472966E-2</v>
      </c>
      <c r="F310" s="3">
        <f t="shared" si="18"/>
        <v>-1.2477677627527047E-2</v>
      </c>
      <c r="G310" s="3">
        <v>6.7215536000000006E-2</v>
      </c>
      <c r="H310" s="3">
        <v>-8.4703017999999998E-3</v>
      </c>
      <c r="I310" s="3">
        <v>3.2244031654857341E-2</v>
      </c>
      <c r="J310" s="3">
        <v>-4.4449774426703614E-3</v>
      </c>
      <c r="K310" s="3">
        <v>4.0073758275270465E-3</v>
      </c>
    </row>
    <row r="311" spans="1:11" x14ac:dyDescent="0.2">
      <c r="A311" s="7">
        <f t="shared" si="19"/>
        <v>1999</v>
      </c>
      <c r="B311" s="5">
        <v>10</v>
      </c>
      <c r="C311" s="3">
        <f t="shared" si="16"/>
        <v>3.102365943061865E-2</v>
      </c>
      <c r="D311" s="3">
        <f t="shared" si="17"/>
        <v>-4.947229017236137E-3</v>
      </c>
      <c r="E311" s="3">
        <f>G311-K311</f>
        <v>0.10875239409824995</v>
      </c>
      <c r="F311" s="3">
        <f t="shared" si="18"/>
        <v>-2.0708144901750047E-2</v>
      </c>
      <c r="G311" s="3">
        <v>0.11260375</v>
      </c>
      <c r="H311" s="3">
        <v>-1.6856789E-2</v>
      </c>
      <c r="I311" s="3">
        <v>3.4875015332368697E-2</v>
      </c>
      <c r="J311" s="3">
        <v>-1.0958731154860901E-3</v>
      </c>
      <c r="K311" s="3">
        <v>3.8513559017500465E-3</v>
      </c>
    </row>
    <row r="312" spans="1:11" x14ac:dyDescent="0.2">
      <c r="A312" s="7">
        <f t="shared" si="19"/>
        <v>1999</v>
      </c>
      <c r="B312" s="5">
        <v>11</v>
      </c>
      <c r="C312" s="3">
        <f t="shared" si="16"/>
        <v>0.11563503146908817</v>
      </c>
      <c r="D312" s="3">
        <f t="shared" si="17"/>
        <v>5.3755947135122113E-2</v>
      </c>
      <c r="E312" s="3">
        <f>G312-K312</f>
        <v>0.29235489495358241</v>
      </c>
      <c r="F312" s="3">
        <f t="shared" si="18"/>
        <v>3.4240691953582418E-2</v>
      </c>
      <c r="G312" s="3">
        <v>0.29655945</v>
      </c>
      <c r="H312" s="3">
        <v>3.8445247000000002E-2</v>
      </c>
      <c r="I312" s="3">
        <v>0.11983958651550575</v>
      </c>
      <c r="J312" s="3">
        <v>5.7960502181539697E-2</v>
      </c>
      <c r="K312" s="3">
        <v>4.204555046417582E-3</v>
      </c>
    </row>
    <row r="313" spans="1:11" x14ac:dyDescent="0.2">
      <c r="A313" s="7">
        <f t="shared" si="19"/>
        <v>1999</v>
      </c>
      <c r="B313" s="5">
        <v>12</v>
      </c>
      <c r="C313" s="3">
        <f t="shared" si="16"/>
        <v>5.7351556829577641E-2</v>
      </c>
      <c r="D313" s="3">
        <f t="shared" si="17"/>
        <v>3.1229363827617471E-2</v>
      </c>
      <c r="E313" s="3">
        <f>G313-K313</f>
        <v>0.20500710621918328</v>
      </c>
      <c r="F313" s="3">
        <f t="shared" si="18"/>
        <v>6.6599152191832685E-3</v>
      </c>
      <c r="G313" s="3">
        <v>0.20898992</v>
      </c>
      <c r="H313" s="3">
        <v>1.0642729E-2</v>
      </c>
      <c r="I313" s="3">
        <v>6.1334370610394373E-2</v>
      </c>
      <c r="J313" s="3">
        <v>3.5212177608434203E-2</v>
      </c>
      <c r="K313" s="3">
        <v>3.9828137808167316E-3</v>
      </c>
    </row>
    <row r="314" spans="1:11" x14ac:dyDescent="0.2">
      <c r="A314" s="7">
        <f t="shared" si="19"/>
        <v>2000</v>
      </c>
      <c r="B314" s="5">
        <v>1</v>
      </c>
      <c r="C314" s="3">
        <f t="shared" si="16"/>
        <v>0.12158882545747267</v>
      </c>
      <c r="D314" s="3">
        <f t="shared" si="17"/>
        <v>-3.2250329319865011E-2</v>
      </c>
      <c r="E314" s="3">
        <f>G314-K314</f>
        <v>0.4206041777663263</v>
      </c>
      <c r="F314" s="3">
        <f t="shared" si="18"/>
        <v>-4.6381108233673723E-2</v>
      </c>
      <c r="G314" s="3">
        <v>0.42512009000000001</v>
      </c>
      <c r="H314" s="3">
        <v>-4.1865196E-2</v>
      </c>
      <c r="I314" s="3">
        <v>0.12610473769114638</v>
      </c>
      <c r="J314" s="3">
        <v>-2.7734417086191288E-2</v>
      </c>
      <c r="K314" s="3">
        <v>4.5159122336737223E-3</v>
      </c>
    </row>
    <row r="315" spans="1:11" x14ac:dyDescent="0.2">
      <c r="A315" s="7">
        <f t="shared" si="19"/>
        <v>2000</v>
      </c>
      <c r="B315" s="5">
        <v>2</v>
      </c>
      <c r="C315" s="3">
        <f t="shared" si="16"/>
        <v>5.7399981465318058E-2</v>
      </c>
      <c r="D315" s="3">
        <f t="shared" si="17"/>
        <v>3.376638410850401E-3</v>
      </c>
      <c r="E315" s="3">
        <f>G315-K315</f>
        <v>0.18818026853529599</v>
      </c>
      <c r="F315" s="3">
        <f t="shared" si="18"/>
        <v>2.8241221352959985E-3</v>
      </c>
      <c r="G315" s="3">
        <v>0.19264086999999999</v>
      </c>
      <c r="H315" s="3">
        <v>7.2847236000000001E-3</v>
      </c>
      <c r="I315" s="3">
        <v>6.1860582930022057E-2</v>
      </c>
      <c r="J315" s="3">
        <v>7.8372398755544026E-3</v>
      </c>
      <c r="K315" s="3">
        <v>4.4606014647040016E-3</v>
      </c>
    </row>
    <row r="316" spans="1:11" x14ac:dyDescent="0.2">
      <c r="A316" s="7">
        <f t="shared" si="19"/>
        <v>2000</v>
      </c>
      <c r="B316" s="5">
        <v>3</v>
      </c>
      <c r="C316" s="3">
        <f t="shared" si="16"/>
        <v>0.10551401372120428</v>
      </c>
      <c r="D316" s="3">
        <f t="shared" si="17"/>
        <v>1.4030124845524575E-2</v>
      </c>
      <c r="E316" s="3">
        <f>G316-K316</f>
        <v>0.33155472466349417</v>
      </c>
      <c r="F316" s="3">
        <f t="shared" si="18"/>
        <v>8.0727346634941709E-3</v>
      </c>
      <c r="G316" s="3">
        <v>0.33630756000000001</v>
      </c>
      <c r="H316" s="3">
        <v>1.282557E-2</v>
      </c>
      <c r="I316" s="3">
        <v>0.11026684905771011</v>
      </c>
      <c r="J316" s="3">
        <v>1.8782960182030406E-2</v>
      </c>
      <c r="K316" s="3">
        <v>4.7528353365058297E-3</v>
      </c>
    </row>
    <row r="317" spans="1:11" x14ac:dyDescent="0.2">
      <c r="A317" s="7">
        <f t="shared" si="19"/>
        <v>2000</v>
      </c>
      <c r="B317" s="5">
        <v>4</v>
      </c>
      <c r="C317" s="3">
        <f t="shared" si="16"/>
        <v>-0.1659632478090059</v>
      </c>
      <c r="D317" s="3">
        <f t="shared" si="17"/>
        <v>-2.1835606592793669E-2</v>
      </c>
      <c r="E317" s="3">
        <f>G317-K317</f>
        <v>-0.24727952585429527</v>
      </c>
      <c r="F317" s="3">
        <f t="shared" si="18"/>
        <v>-1.9607887854295299E-2</v>
      </c>
      <c r="G317" s="3">
        <v>-0.24267301999999999</v>
      </c>
      <c r="H317" s="3">
        <v>-1.5001382000000001E-2</v>
      </c>
      <c r="I317" s="3">
        <v>-0.16135674195471061</v>
      </c>
      <c r="J317" s="3">
        <v>-1.7229100738498371E-2</v>
      </c>
      <c r="K317" s="3">
        <v>4.6065058542952972E-3</v>
      </c>
    </row>
    <row r="318" spans="1:11" x14ac:dyDescent="0.2">
      <c r="A318" s="7">
        <f t="shared" si="19"/>
        <v>2000</v>
      </c>
      <c r="B318" s="5">
        <v>5</v>
      </c>
      <c r="C318" s="3">
        <f t="shared" si="16"/>
        <v>-0.11260840868752366</v>
      </c>
      <c r="D318" s="3">
        <f t="shared" si="17"/>
        <v>-2.0198650713555217E-2</v>
      </c>
      <c r="E318" s="3">
        <f>G318-K318</f>
        <v>-0.19466683708230334</v>
      </c>
      <c r="F318" s="3">
        <f t="shared" si="18"/>
        <v>-1.4678936882303342E-2</v>
      </c>
      <c r="G318" s="3">
        <v>-0.18965325999999999</v>
      </c>
      <c r="H318" s="3">
        <v>-9.6653598000000004E-3</v>
      </c>
      <c r="I318" s="3">
        <v>-0.10759483160522032</v>
      </c>
      <c r="J318" s="3">
        <v>-1.5185073631251877E-2</v>
      </c>
      <c r="K318" s="3">
        <v>5.0135770823033403E-3</v>
      </c>
    </row>
    <row r="319" spans="1:11" x14ac:dyDescent="0.2">
      <c r="A319" s="7">
        <f t="shared" si="19"/>
        <v>2000</v>
      </c>
      <c r="B319" s="5">
        <v>6</v>
      </c>
      <c r="C319" s="3">
        <f t="shared" si="16"/>
        <v>2.168431444251559E-2</v>
      </c>
      <c r="D319" s="3">
        <f t="shared" si="17"/>
        <v>5.8058473144036976E-2</v>
      </c>
      <c r="E319" s="3">
        <f>G319-K319</f>
        <v>-5.3604301380729441E-2</v>
      </c>
      <c r="F319" s="3">
        <f t="shared" si="18"/>
        <v>6.5004592619270551E-2</v>
      </c>
      <c r="G319" s="3">
        <v>-4.8990122999999997E-2</v>
      </c>
      <c r="H319" s="3">
        <v>6.9618770999999996E-2</v>
      </c>
      <c r="I319" s="3">
        <v>2.6298492823245034E-2</v>
      </c>
      <c r="J319" s="3">
        <v>6.2672651524766421E-2</v>
      </c>
      <c r="K319" s="3">
        <v>4.6141783807294454E-3</v>
      </c>
    </row>
    <row r="320" spans="1:11" x14ac:dyDescent="0.2">
      <c r="A320" s="7">
        <f t="shared" si="19"/>
        <v>2000</v>
      </c>
      <c r="B320" s="5">
        <v>7</v>
      </c>
      <c r="C320" s="3">
        <f t="shared" si="16"/>
        <v>0.13149211854927254</v>
      </c>
      <c r="D320" s="3">
        <f t="shared" si="17"/>
        <v>-1.1358179307220856E-2</v>
      </c>
      <c r="E320" s="3">
        <f>G320-K320</f>
        <v>0.24144958352422133</v>
      </c>
      <c r="F320" s="3">
        <f t="shared" si="18"/>
        <v>6.4658215242213322E-3</v>
      </c>
      <c r="G320" s="3">
        <v>0.2463899</v>
      </c>
      <c r="H320" s="3">
        <v>1.1406138E-2</v>
      </c>
      <c r="I320" s="3">
        <v>0.1364324350250512</v>
      </c>
      <c r="J320" s="3">
        <v>-6.4178628314421893E-3</v>
      </c>
      <c r="K320" s="3">
        <v>4.9403164757786675E-3</v>
      </c>
    </row>
    <row r="321" spans="1:11" x14ac:dyDescent="0.2">
      <c r="A321" s="7">
        <f t="shared" si="19"/>
        <v>2000</v>
      </c>
      <c r="B321" s="5">
        <v>8</v>
      </c>
      <c r="C321" s="3">
        <f t="shared" si="16"/>
        <v>-5.1010541446815452E-3</v>
      </c>
      <c r="D321" s="3">
        <f t="shared" si="17"/>
        <v>7.4156351561526154E-3</v>
      </c>
      <c r="E321" s="3">
        <f>G321-K321</f>
        <v>1.2873330517476434E-3</v>
      </c>
      <c r="F321" s="3">
        <f t="shared" si="18"/>
        <v>1.2079469851747644E-2</v>
      </c>
      <c r="G321" s="3">
        <v>6.2842931999999999E-3</v>
      </c>
      <c r="H321" s="3">
        <v>1.707643E-2</v>
      </c>
      <c r="I321" s="3">
        <v>-1.0409399642918871E-4</v>
      </c>
      <c r="J321" s="3">
        <v>1.2412595304404972E-2</v>
      </c>
      <c r="K321" s="3">
        <v>4.9969601482523565E-3</v>
      </c>
    </row>
    <row r="322" spans="1:11" x14ac:dyDescent="0.2">
      <c r="A322" s="7">
        <f t="shared" si="19"/>
        <v>2000</v>
      </c>
      <c r="B322" s="5">
        <v>9</v>
      </c>
      <c r="C322" s="3">
        <f t="shared" si="16"/>
        <v>-7.3210312609242711E-2</v>
      </c>
      <c r="D322" s="3">
        <f t="shared" si="17"/>
        <v>-2.3475270097771388E-2</v>
      </c>
      <c r="E322" s="3">
        <f>G322-K322</f>
        <v>-6.6665662473252257E-2</v>
      </c>
      <c r="F322" s="3">
        <f t="shared" si="18"/>
        <v>-3.6573372473252264E-2</v>
      </c>
      <c r="G322" s="3">
        <v>-6.1327171E-2</v>
      </c>
      <c r="H322" s="3">
        <v>-3.1234880999999999E-2</v>
      </c>
      <c r="I322" s="3">
        <v>-6.787182113599044E-2</v>
      </c>
      <c r="J322" s="3">
        <v>-1.8136778624519123E-2</v>
      </c>
      <c r="K322" s="3">
        <v>5.3384914732522645E-3</v>
      </c>
    </row>
    <row r="323" spans="1:11" x14ac:dyDescent="0.2">
      <c r="A323" s="7">
        <f t="shared" si="19"/>
        <v>2000</v>
      </c>
      <c r="B323" s="5">
        <v>10</v>
      </c>
      <c r="C323" s="3">
        <f>I323-K323</f>
        <v>-3.2503767344053587E-2</v>
      </c>
      <c r="D323" s="3">
        <f>J323-K323</f>
        <v>-9.6336965402489018E-4</v>
      </c>
      <c r="E323" s="3">
        <f>G323-K323</f>
        <v>-4.9357641599999953E-2</v>
      </c>
      <c r="F323" s="3">
        <f>H323-K323</f>
        <v>8.2685200000004802E-4</v>
      </c>
      <c r="G323" s="3">
        <v>-4.4421816000000003E-2</v>
      </c>
      <c r="H323" s="3">
        <v>5.7626776000000001E-3</v>
      </c>
      <c r="I323" s="3">
        <v>-2.7567941744053637E-2</v>
      </c>
      <c r="J323" s="3">
        <v>3.9724559459750619E-3</v>
      </c>
      <c r="K323" s="3">
        <v>4.9358255999999521E-3</v>
      </c>
    </row>
    <row r="324" spans="1:11" x14ac:dyDescent="0.2">
      <c r="A324" s="7">
        <f t="shared" si="19"/>
        <v>2000</v>
      </c>
      <c r="B324" s="5">
        <v>11</v>
      </c>
      <c r="C324" s="3">
        <f>I324-K324</f>
        <v>-2.6015531162035897E-3</v>
      </c>
      <c r="D324" s="3">
        <f>J324-K324</f>
        <v>1.2394897878597036E-2</v>
      </c>
      <c r="E324" s="3">
        <f>G324-K324</f>
        <v>2.1101612960000071E-2</v>
      </c>
      <c r="F324" s="3">
        <f>H324-K324</f>
        <v>1.4814032960000069E-2</v>
      </c>
      <c r="G324" s="3">
        <v>2.6302153000000002E-2</v>
      </c>
      <c r="H324" s="3">
        <v>2.0014573000000001E-2</v>
      </c>
      <c r="I324" s="3">
        <v>2.5989869237963426E-3</v>
      </c>
      <c r="J324" s="3">
        <v>1.7595437918596968E-2</v>
      </c>
      <c r="K324" s="3">
        <v>5.2005400399999322E-3</v>
      </c>
    </row>
    <row r="325" spans="1:11" x14ac:dyDescent="0.2">
      <c r="A325" s="7">
        <f t="shared" si="19"/>
        <v>2000</v>
      </c>
      <c r="B325" s="5">
        <v>12</v>
      </c>
      <c r="C325" s="3">
        <f>I325-K325</f>
        <v>-4.7295210328017374E-2</v>
      </c>
      <c r="D325" s="3">
        <f>J325-K325</f>
        <v>-7.000249779694441E-3</v>
      </c>
      <c r="E325" s="3">
        <f>G325-K325</f>
        <v>-5.6501062340000061E-2</v>
      </c>
      <c r="F325" s="3">
        <f>H325-K325</f>
        <v>-1.1386187540000058E-2</v>
      </c>
      <c r="G325" s="3">
        <v>-5.1710599000000003E-2</v>
      </c>
      <c r="H325" s="3">
        <v>-6.5957241999999999E-3</v>
      </c>
      <c r="I325" s="3">
        <v>-4.2504746988017317E-2</v>
      </c>
      <c r="J325" s="3">
        <v>-2.2097864396943834E-3</v>
      </c>
      <c r="K325" s="3">
        <v>4.7904633400000576E-3</v>
      </c>
    </row>
  </sheetData>
  <phoneticPr fontId="0" type="noConversion"/>
  <pageMargins left="0.75" right="0.75" top="1" bottom="1" header="0.5" footer="0.5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deciles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Gray</dc:creator>
  <cp:lastModifiedBy>Peter Clarkson</cp:lastModifiedBy>
  <dcterms:created xsi:type="dcterms:W3CDTF">2003-03-28T03:53:39Z</dcterms:created>
  <dcterms:modified xsi:type="dcterms:W3CDTF">2026-03-11T23:23:50Z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2022-03-20T01:09:39Z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15489d6c-d788-4ed9-8fb2-3dff85cbf6b3</vt:lpwstr>
  </property>
  <property fmtid="{D5CDD505-2E9C-101B-9397-08002B2CF9AE}" pid="8" name="MSIP_Label_0f488380-630a-4f55-a077-a19445e3f360_ContentBits">
    <vt:lpwstr>0</vt:lpwstr>
  </property>
</Properties>
</file>